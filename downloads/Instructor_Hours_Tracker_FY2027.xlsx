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Hours Log" sheetId="2" r:id="rId2"/>
    <sheet name="Class Summary" sheetId="3" r:id="rId3"/>
    <sheet name="Lists" sheetId="4" r:id="rId4"/>
    <sheet name="Guide" sheetId="5" r:id="rId5"/>
  </sheets>
  <definedNames>
    <definedName name="Classes">'Lists'!$A$5:$A$44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"/>
    <numFmt numFmtId="165" formatCode="mmm yyyy"/>
    <numFmt numFmtId="166" formatCode="m/d/yyyy"/>
    <numFmt numFmtId="167" formatCode="0.0%"/>
  </numFmts>
  <fonts count="5">
    <font>
      <sz val="11"/>
      <color rgb="FF1E365B"/>
      <name val="Aptos"/>
    </font>
    <font>
      <b/>
      <sz val="11"/>
      <color rgb="FFFFFFFF"/>
      <name val="Aptos"/>
    </font>
    <font>
      <b/>
      <sz val="19"/>
      <color rgb="FF142F57"/>
      <name val="Aptos Display"/>
    </font>
    <font>
      <b/>
      <sz val="11"/>
      <color rgb="FF183A66"/>
      <name val="Aptos"/>
    </font>
    <font>
      <b/>
      <sz val="14"/>
      <color rgb="FF14365B"/>
      <name val="Aptos"/>
    </font>
  </fonts>
  <fills count="8">
    <fill>
      <patternFill patternType="none"/>
    </fill>
    <fill>
      <patternFill patternType="gray125"/>
    </fill>
    <fill>
      <patternFill patternType="solid">
        <fgColor rgb="FF183A66"/>
        <bgColor indexed="64"/>
      </patternFill>
    </fill>
    <fill>
      <patternFill patternType="solid">
        <fgColor rgb="FF3276C9"/>
        <bgColor indexed="64"/>
      </patternFill>
    </fill>
    <fill>
      <patternFill patternType="solid">
        <fgColor rgb="FFE5F0FC"/>
        <bgColor indexed="64"/>
      </patternFill>
    </fill>
    <fill>
      <patternFill patternType="solid">
        <fgColor rgb="FFF4D3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9FE"/>
        <bgColor indexed="64"/>
      </patternFill>
    </fill>
  </fills>
  <borders count="2">
    <border>
      <left/>
      <right/>
      <top/>
      <bottom/>
      <diagonal/>
    </border>
    <border>
      <left style="thin">
        <color rgb="FFD9E6F2"/>
      </left>
      <right style="thin">
        <color rgb="FFD9E6F2"/>
      </right>
      <top style="thin">
        <color rgb="FFD9E6F2"/>
      </top>
      <bottom style="thin">
        <color rgb="FFD9E6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7" borderId="0" xfId="0" applyFont="1" applyFill="1"/>
    <xf numFmtId="0" fontId="1" fillId="2" borderId="1" xfId="0" applyFont="1" applyFill="1" applyBorder="1"/>
    <xf numFmtId="0" fontId="3" fillId="4" borderId="1" xfId="0" applyFont="1" applyFill="1"/>
    <xf numFmtId="0" fontId="4" fillId="5" borderId="1" xfId="0" applyFont="1" applyFill="1"/>
    <xf numFmtId="164" fontId="0" fillId="6" borderId="1" xfId="0" applyNumberFormat="1"/>
    <xf numFmtId="166" fontId="4" fillId="4" borderId="1" xfId="0" applyNumberFormat="1"/>
    <xf numFmtId="167" fontId="4" fillId="4" borderId="1" xfId="0" applyNumberFormat="1"/>
    <xf numFmtId="164" fontId="4" fillId="5" borderId="1" xfId="0" applyNumberFormat="1"/>
    <xf numFmtId="0" fontId="0" fillId="7" borderId="0" xfId="0"/>
    <xf numFmtId="0" fontId="0" fillId="4" borderId="1" xfId="0"/>
    <xf numFmtId="0" fontId="1" fillId="3" borderId="1" xfId="0"/>
    <xf numFmtId="165" fontId="3" fillId="4" borderId="1" xfId="0" applyNumberForma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pPr/>
            <a:r>
              <a:rPr lang="en-US" b="1" sz="1300"/>
              <a:t>Monthly Instructor Hours by Type</a:t>
            </a:r>
            <a:endParaRPr lang="en-US"/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Dashboard!$B$35</c:f>
              <c:strCache>
                <c:ptCount val="1"/>
                <c:pt idx="0">
                  <c:v>CONTACT</c:v>
                </c:pt>
              </c:strCache>
            </c:strRef>
          </c:tx>
          <c:spPr>
            <a:solidFill>
              <a:srgbClr val="3276C9"/>
            </a:solidFill>
          </c:spPr>
          <c:cat>
            <c:strRef>
              <c:f>Dashboard!$Q$36:$Q$47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Dashboard!$B$36:$B$47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Dashboard!$C$35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E3B454"/>
            </a:solidFill>
          </c:spPr>
          <c:cat>
            <c:strRef>
              <c:f>Dashboard!$Q$36:$Q$47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Dashboard!$C$36:$C$47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Dashboard!$D$35</c:f>
              <c:strCache>
                <c:ptCount val="1"/>
                <c:pt idx="0">
                  <c:v>CONSULTATION</c:v>
                </c:pt>
              </c:strCache>
            </c:strRef>
          </c:tx>
          <c:spPr>
            <a:solidFill>
              <a:srgbClr val="65A6C7"/>
            </a:solidFill>
          </c:spPr>
          <c:cat>
            <c:strRef>
              <c:f>Dashboard!$Q$36:$Q$47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Dashboard!$D$36:$D$47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100001"/>
        <c:axId val="100002"/>
      </c:barChart>
      <c:catAx>
        <c:axId val="100001"/>
        <c:scaling>
          <c:orientation val="minMax"/>
        </c:scaling>
        <c:axPos val="b"/>
        <c:crossAx val="100002"/>
        <c:tickLblPos val="nextTo"/>
      </c:catAx>
      <c:valAx>
        <c:axId val="100002"/>
        <c:scaling>
          <c:orientation val="minMax"/>
        </c:scaling>
        <c:axPos val="l"/>
        <c:majorGridlines/>
        <c:numFmt formatCode="0" sourceLinked="0"/>
        <c:crossAx val="100001"/>
      </c:valAx>
    </c:plotArea>
    <c:legend>
      <c:legendPos val="b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pPr/>
            <a:r>
              <a:rPr lang="en-US" b="1" sz="1300"/>
              <a:t>Hours Distribution by Category</a:t>
            </a:r>
            <a:endParaRPr lang="en-US"/>
          </a:p>
        </c:rich>
      </c:tx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276C9"/>
              </a:solidFill>
            </c:spPr>
          </c:dPt>
          <c:dPt>
            <c:idx val="1"/>
            <c:spPr>
              <a:solidFill>
                <a:srgbClr val="E3B454"/>
              </a:solidFill>
            </c:spPr>
          </c:dPt>
          <c:dPt>
            <c:idx val="2"/>
            <c:spPr>
              <a:solidFill>
                <a:srgbClr val="65A6C7"/>
              </a:solidFill>
            </c:spPr>
          </c:dPt>
          <c:cat>
            <c:strRef>
              <c:f>Dashboard!$Q$13:$Q$15</c:f>
              <c:strCache>
                <c:ptCount val="3"/>
                <c:pt idx="0">
                  <c:v>Contact Hours</c:v>
                </c:pt>
                <c:pt idx="1">
                  <c:v>Production Hours</c:v>
                </c:pt>
                <c:pt idx="2">
                  <c:v>Consultation Hours</c:v>
                </c:pt>
              </c:strCache>
            </c:strRef>
          </c:cat>
          <c:val>
            <c:numRef>
              <c:f>Dashboard!$R$13:$R$15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Percent val="1"/>
        </c:dLbls>
        <c:firstSliceAng val="270"/>
      </c:pieChart>
    </c:plotArea>
    <c:legend>
      <c:legendPos val="r"/>
      <c:layout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8"/>
  <cols>
    <col min="1" max="1" width="20" customWidth="1"/>
    <col min="2" max="2" width="16" customWidth="1"/>
    <col min="3" max="3" width="22" customWidth="1"/>
    <col min="4" max="4" width="17" customWidth="1"/>
    <col min="5" max="5" width="19" customWidth="1"/>
    <col min="6" max="6" width="20" customWidth="1"/>
    <col min="7" max="14" width="12" customWidth="1"/>
    <col min="17" max="18" hidden="1"/>
  </cols>
  <sheetData>
    <row r="1" ht="34" customHeight="1">
      <c r="A1" s="1" t="inlineStr">
        <is>
          <t xml:space="preserve">INSTRUCTOR HOURS  |  FISCAL YEAR DASHBOARD</t>
        </is>
      </c>
    </row>
    <row r="2" ht="22" customHeight="1">
      <c r="A2" s="13" t="inlineStr">
        <is>
          <t xml:space="preserve">Federal fiscal year: October 1 through September 30 | Change the FY in B4.</t>
        </is>
      </c>
    </row>
    <row r="4" ht="24" customHeight="1">
      <c r="A4" s="3" t="inlineStr">
        <is>
          <t xml:space="preserve">SELECT FISCAL YEAR</t>
        </is>
      </c>
      <c r="B4" s="4">
        <v>2027</v>
      </c>
      <c r="C4" s="13" t="inlineStr">
        <is>
          <t xml:space="preserve">FY 2027 = Oct 1, 2026 - Sep 30, 2027</t>
        </is>
      </c>
    </row>
    <row r="6" ht="24" customHeight="1">
      <c r="A6" s="2" t="inlineStr">
        <is>
          <t xml:space="preserve">CONTACT HOURS</t>
        </is>
      </c>
      <c r="C6" s="2" t="inlineStr">
        <is>
          <t xml:space="preserve">PRODUCTION HOURS</t>
        </is>
      </c>
      <c r="E6" s="2" t="inlineStr">
        <is>
          <t xml:space="preserve">CONSULTATION HOURS</t>
        </is>
      </c>
    </row>
    <row r="7" ht="28" customHeight="1">
      <c r="A7" s="8">
        <f>SUM(B36:B47)</f>
        <v>0</v>
      </c>
      <c r="C7" s="8">
        <f>SUM(C36:C47)</f>
        <v>0</v>
      </c>
      <c r="E7" s="8">
        <f>SUM(D36:D47)</f>
        <v>0</v>
      </c>
    </row>
    <row r="10" ht="24" customHeight="1">
      <c r="A10" s="2" t="inlineStr">
        <is>
          <t xml:space="preserve">ALL INSTRUCTOR HOURS</t>
        </is>
      </c>
    </row>
    <row r="11" ht="28" customHeight="1">
      <c r="A11" s="8">
        <f>SUM(E36:E47)</f>
        <v>0</v>
      </c>
    </row>
    <row r="14" ht="24" customHeight="1">
      <c r="A14" s="2" t="inlineStr">
        <is>
          <t xml:space="preserve">FY BEGINS</t>
        </is>
      </c>
      <c r="C14" s="2" t="inlineStr">
        <is>
          <t xml:space="preserve">FY ENDS</t>
        </is>
      </c>
      <c r="E14" s="2" t="inlineStr">
        <is>
          <t xml:space="preserve">YEAR ELAPSED</t>
        </is>
      </c>
    </row>
    <row r="15" ht="27" customHeight="1">
      <c r="A15" s="6">
        <f>DATE(B4-1,10,1)</f>
        <v>0</v>
      </c>
      <c r="C15" s="6">
        <f>DATE(B4,9,30)</f>
        <v>0</v>
      </c>
      <c r="E15" s="7">
        <f>IF(TODAY()&lt;DATE(B4-1,10,1),0,IF(TODAY()&gt;DATE(B4,9,30),1,(TODAY()-DATE(B4-1,10,1)+1)/(DATE(B4,10,1)-DATE(B4-1,10,1))))</f>
        <v>0</v>
      </c>
    </row>
    <row r="19" ht="24" customHeight="1">
      <c r="A19" s="2" t="inlineStr">
        <is>
          <t xml:space="preserve">FISCAL YEAR PROGRESS</t>
        </is>
      </c>
    </row>
    <row r="20" ht="24" customHeight="1">
      <c r="A20" s="9">
        <f>IF(TODAY()&lt;DATE(B4-1,10,1),"Not started",IF(TODAY()&gt;DATE(B4,9,30),"Completed","In progress: "&amp;TEXT(E15,"0.0%")))</f>
        <v>0</v>
      </c>
    </row>
    <row r="26" ht="24" customHeight="1">
      <c r="A26" s="2" t="inlineStr">
        <is>
          <t xml:space="preserve">TRACK HOURS BY ACTIVITY</t>
        </is>
      </c>
    </row>
    <row r="27" ht="25" customHeight="1">
      <c r="A27" s="13" t="inlineStr">
        <is>
          <t xml:space="preserve">Enter dated activities in Hours Log. The dashboard updates from the selected FY.</t>
        </is>
      </c>
    </row>
    <row r="33" ht="26" customHeight="1">
      <c r="A33" s="2" t="inlineStr">
        <is>
          <t xml:space="preserve">MONTHLY HOURS - OCTOBER THROUGH SEPTEMBER</t>
        </is>
      </c>
    </row>
    <row r="35" ht="25" customHeight="1">
      <c r="A35" s="11" t="inlineStr">
        <is>
          <t xml:space="preserve">MONTH</t>
        </is>
      </c>
      <c r="B35" s="11" t="inlineStr">
        <is>
          <t xml:space="preserve">CONTACT</t>
        </is>
      </c>
      <c r="C35" s="11" t="inlineStr">
        <is>
          <t xml:space="preserve">PRODUCTION</t>
        </is>
      </c>
      <c r="D35" s="11" t="inlineStr">
        <is>
          <t xml:space="preserve">CONSULTATION</t>
        </is>
      </c>
      <c r="E35" s="11" t="inlineStr">
        <is>
          <t xml:space="preserve">TOTAL</t>
        </is>
      </c>
      <c r="F35" s="11" t="inlineStr">
        <is>
          <t xml:space="preserve">MONTH TRACKER</t>
        </is>
      </c>
    </row>
    <row r="36" ht="22" customHeight="1">
      <c r="A36" s="12">
        <f>DATE(B4-1,10,1)</f>
        <v>0</v>
      </c>
      <c r="B36" s="5">
        <f>SUMIFS('Hours Log'!$D$5:$D$504,'Hours Log'!$B$5:$B$504,"&gt;="&amp;$A36,'Hours Log'!$B$5:$B$504,"&lt;"&amp;EDATE(A36,1))</f>
        <v>0</v>
      </c>
      <c r="C36" s="5">
        <f>SUMIFS('Hours Log'!$E$5:$E$504,'Hours Log'!$B$5:$B$504,"&gt;="&amp;$A36,'Hours Log'!$B$5:$B$504,"&lt;"&amp;EDATE(A36,1))</f>
        <v>0</v>
      </c>
      <c r="D36" s="5">
        <f>SUMIFS('Hours Log'!$F$5:$F$504,'Hours Log'!$B$5:$B$504,"&gt;="&amp;$A36,'Hours Log'!$B$5:$B$504,"&lt;"&amp;EDATE(A36,1))</f>
        <v>0</v>
      </c>
      <c r="E36" s="8">
        <f>SUM(B36:D36)</f>
        <v>0</v>
      </c>
      <c r="F36" s="7">
        <f>IF(TODAY()&lt;A36,0,IF(TODAY()&gt;=EDATE(A36,1),1,(TODAY()-A36+1)/(EDATE(A36,1)-A36)))</f>
        <v>0</v>
      </c>
    </row>
    <row r="37" ht="22" customHeight="1">
      <c r="A37" s="12">
        <f>DATE(B4-1,11,1)</f>
        <v>0</v>
      </c>
      <c r="B37" s="5">
        <f>SUMIFS('Hours Log'!$D$5:$D$504,'Hours Log'!$B$5:$B$504,"&gt;="&amp;$A37,'Hours Log'!$B$5:$B$504,"&lt;"&amp;EDATE(A37,1))</f>
        <v>0</v>
      </c>
      <c r="C37" s="5">
        <f>SUMIFS('Hours Log'!$E$5:$E$504,'Hours Log'!$B$5:$B$504,"&gt;="&amp;$A37,'Hours Log'!$B$5:$B$504,"&lt;"&amp;EDATE(A37,1))</f>
        <v>0</v>
      </c>
      <c r="D37" s="5">
        <f>SUMIFS('Hours Log'!$F$5:$F$504,'Hours Log'!$B$5:$B$504,"&gt;="&amp;$A37,'Hours Log'!$B$5:$B$504,"&lt;"&amp;EDATE(A37,1))</f>
        <v>0</v>
      </c>
      <c r="E37" s="8">
        <f>SUM(B37:D37)</f>
        <v>0</v>
      </c>
      <c r="F37" s="7">
        <f>IF(TODAY()&lt;A37,0,IF(TODAY()&gt;=EDATE(A37,1),1,(TODAY()-A37+1)/(EDATE(A37,1)-A37)))</f>
        <v>0</v>
      </c>
    </row>
    <row r="38" ht="22" customHeight="1">
      <c r="A38" s="12">
        <f>DATE(B4-1,12,1)</f>
        <v>0</v>
      </c>
      <c r="B38" s="5">
        <f>SUMIFS('Hours Log'!$D$5:$D$504,'Hours Log'!$B$5:$B$504,"&gt;="&amp;$A38,'Hours Log'!$B$5:$B$504,"&lt;"&amp;EDATE(A38,1))</f>
        <v>0</v>
      </c>
      <c r="C38" s="5">
        <f>SUMIFS('Hours Log'!$E$5:$E$504,'Hours Log'!$B$5:$B$504,"&gt;="&amp;$A38,'Hours Log'!$B$5:$B$504,"&lt;"&amp;EDATE(A38,1))</f>
        <v>0</v>
      </c>
      <c r="D38" s="5">
        <f>SUMIFS('Hours Log'!$F$5:$F$504,'Hours Log'!$B$5:$B$504,"&gt;="&amp;$A38,'Hours Log'!$B$5:$B$504,"&lt;"&amp;EDATE(A38,1))</f>
        <v>0</v>
      </c>
      <c r="E38" s="8">
        <f>SUM(B38:D38)</f>
        <v>0</v>
      </c>
      <c r="F38" s="7">
        <f>IF(TODAY()&lt;A38,0,IF(TODAY()&gt;=EDATE(A38,1),1,(TODAY()-A38+1)/(EDATE(A38,1)-A38)))</f>
        <v>0</v>
      </c>
    </row>
    <row r="39" ht="22" customHeight="1">
      <c r="A39" s="12">
        <f>DATE(B4,1,1)</f>
        <v>0</v>
      </c>
      <c r="B39" s="5">
        <f>SUMIFS('Hours Log'!$D$5:$D$504,'Hours Log'!$B$5:$B$504,"&gt;="&amp;$A39,'Hours Log'!$B$5:$B$504,"&lt;"&amp;EDATE(A39,1))</f>
        <v>0</v>
      </c>
      <c r="C39" s="5">
        <f>SUMIFS('Hours Log'!$E$5:$E$504,'Hours Log'!$B$5:$B$504,"&gt;="&amp;$A39,'Hours Log'!$B$5:$B$504,"&lt;"&amp;EDATE(A39,1))</f>
        <v>0</v>
      </c>
      <c r="D39" s="5">
        <f>SUMIFS('Hours Log'!$F$5:$F$504,'Hours Log'!$B$5:$B$504,"&gt;="&amp;$A39,'Hours Log'!$B$5:$B$504,"&lt;"&amp;EDATE(A39,1))</f>
        <v>0</v>
      </c>
      <c r="E39" s="8">
        <f>SUM(B39:D39)</f>
        <v>0</v>
      </c>
      <c r="F39" s="7">
        <f>IF(TODAY()&lt;A39,0,IF(TODAY()&gt;=EDATE(A39,1),1,(TODAY()-A39+1)/(EDATE(A39,1)-A39)))</f>
        <v>0</v>
      </c>
    </row>
    <row r="40" ht="22" customHeight="1">
      <c r="A40" s="12">
        <f>DATE(B4,2,1)</f>
        <v>0</v>
      </c>
      <c r="B40" s="5">
        <f>SUMIFS('Hours Log'!$D$5:$D$504,'Hours Log'!$B$5:$B$504,"&gt;="&amp;$A40,'Hours Log'!$B$5:$B$504,"&lt;"&amp;EDATE(A40,1))</f>
        <v>0</v>
      </c>
      <c r="C40" s="5">
        <f>SUMIFS('Hours Log'!$E$5:$E$504,'Hours Log'!$B$5:$B$504,"&gt;="&amp;$A40,'Hours Log'!$B$5:$B$504,"&lt;"&amp;EDATE(A40,1))</f>
        <v>0</v>
      </c>
      <c r="D40" s="5">
        <f>SUMIFS('Hours Log'!$F$5:$F$504,'Hours Log'!$B$5:$B$504,"&gt;="&amp;$A40,'Hours Log'!$B$5:$B$504,"&lt;"&amp;EDATE(A40,1))</f>
        <v>0</v>
      </c>
      <c r="E40" s="8">
        <f>SUM(B40:D40)</f>
        <v>0</v>
      </c>
      <c r="F40" s="7">
        <f>IF(TODAY()&lt;A40,0,IF(TODAY()&gt;=EDATE(A40,1),1,(TODAY()-A40+1)/(EDATE(A40,1)-A40)))</f>
        <v>0</v>
      </c>
    </row>
    <row r="41" ht="22" customHeight="1">
      <c r="A41" s="12">
        <f>DATE(B4,3,1)</f>
        <v>0</v>
      </c>
      <c r="B41" s="5">
        <f>SUMIFS('Hours Log'!$D$5:$D$504,'Hours Log'!$B$5:$B$504,"&gt;="&amp;$A41,'Hours Log'!$B$5:$B$504,"&lt;"&amp;EDATE(A41,1))</f>
        <v>0</v>
      </c>
      <c r="C41" s="5">
        <f>SUMIFS('Hours Log'!$E$5:$E$504,'Hours Log'!$B$5:$B$504,"&gt;="&amp;$A41,'Hours Log'!$B$5:$B$504,"&lt;"&amp;EDATE(A41,1))</f>
        <v>0</v>
      </c>
      <c r="D41" s="5">
        <f>SUMIFS('Hours Log'!$F$5:$F$504,'Hours Log'!$B$5:$B$504,"&gt;="&amp;$A41,'Hours Log'!$B$5:$B$504,"&lt;"&amp;EDATE(A41,1))</f>
        <v>0</v>
      </c>
      <c r="E41" s="8">
        <f>SUM(B41:D41)</f>
        <v>0</v>
      </c>
      <c r="F41" s="7">
        <f>IF(TODAY()&lt;A41,0,IF(TODAY()&gt;=EDATE(A41,1),1,(TODAY()-A41+1)/(EDATE(A41,1)-A41)))</f>
        <v>0</v>
      </c>
    </row>
    <row r="42" ht="22" customHeight="1">
      <c r="A42" s="12">
        <f>DATE(B4,4,1)</f>
        <v>0</v>
      </c>
      <c r="B42" s="5">
        <f>SUMIFS('Hours Log'!$D$5:$D$504,'Hours Log'!$B$5:$B$504,"&gt;="&amp;$A42,'Hours Log'!$B$5:$B$504,"&lt;"&amp;EDATE(A42,1))</f>
        <v>0</v>
      </c>
      <c r="C42" s="5">
        <f>SUMIFS('Hours Log'!$E$5:$E$504,'Hours Log'!$B$5:$B$504,"&gt;="&amp;$A42,'Hours Log'!$B$5:$B$504,"&lt;"&amp;EDATE(A42,1))</f>
        <v>0</v>
      </c>
      <c r="D42" s="5">
        <f>SUMIFS('Hours Log'!$F$5:$F$504,'Hours Log'!$B$5:$B$504,"&gt;="&amp;$A42,'Hours Log'!$B$5:$B$504,"&lt;"&amp;EDATE(A42,1))</f>
        <v>0</v>
      </c>
      <c r="E42" s="8">
        <f>SUM(B42:D42)</f>
        <v>0</v>
      </c>
      <c r="F42" s="7">
        <f>IF(TODAY()&lt;A42,0,IF(TODAY()&gt;=EDATE(A42,1),1,(TODAY()-A42+1)/(EDATE(A42,1)-A42)))</f>
        <v>0</v>
      </c>
    </row>
    <row r="43" ht="22" customHeight="1">
      <c r="A43" s="12">
        <f>DATE(B4,5,1)</f>
        <v>0</v>
      </c>
      <c r="B43" s="5">
        <f>SUMIFS('Hours Log'!$D$5:$D$504,'Hours Log'!$B$5:$B$504,"&gt;="&amp;$A43,'Hours Log'!$B$5:$B$504,"&lt;"&amp;EDATE(A43,1))</f>
        <v>0</v>
      </c>
      <c r="C43" s="5">
        <f>SUMIFS('Hours Log'!$E$5:$E$504,'Hours Log'!$B$5:$B$504,"&gt;="&amp;$A43,'Hours Log'!$B$5:$B$504,"&lt;"&amp;EDATE(A43,1))</f>
        <v>0</v>
      </c>
      <c r="D43" s="5">
        <f>SUMIFS('Hours Log'!$F$5:$F$504,'Hours Log'!$B$5:$B$504,"&gt;="&amp;$A43,'Hours Log'!$B$5:$B$504,"&lt;"&amp;EDATE(A43,1))</f>
        <v>0</v>
      </c>
      <c r="E43" s="8">
        <f>SUM(B43:D43)</f>
        <v>0</v>
      </c>
      <c r="F43" s="7">
        <f>IF(TODAY()&lt;A43,0,IF(TODAY()&gt;=EDATE(A43,1),1,(TODAY()-A43+1)/(EDATE(A43,1)-A43)))</f>
        <v>0</v>
      </c>
    </row>
    <row r="44" ht="22" customHeight="1">
      <c r="A44" s="12">
        <f>DATE(B4,6,1)</f>
        <v>0</v>
      </c>
      <c r="B44" s="5">
        <f>SUMIFS('Hours Log'!$D$5:$D$504,'Hours Log'!$B$5:$B$504,"&gt;="&amp;$A44,'Hours Log'!$B$5:$B$504,"&lt;"&amp;EDATE(A44,1))</f>
        <v>0</v>
      </c>
      <c r="C44" s="5">
        <f>SUMIFS('Hours Log'!$E$5:$E$504,'Hours Log'!$B$5:$B$504,"&gt;="&amp;$A44,'Hours Log'!$B$5:$B$504,"&lt;"&amp;EDATE(A44,1))</f>
        <v>0</v>
      </c>
      <c r="D44" s="5">
        <f>SUMIFS('Hours Log'!$F$5:$F$504,'Hours Log'!$B$5:$B$504,"&gt;="&amp;$A44,'Hours Log'!$B$5:$B$504,"&lt;"&amp;EDATE(A44,1))</f>
        <v>0</v>
      </c>
      <c r="E44" s="8">
        <f>SUM(B44:D44)</f>
        <v>0</v>
      </c>
      <c r="F44" s="7">
        <f>IF(TODAY()&lt;A44,0,IF(TODAY()&gt;=EDATE(A44,1),1,(TODAY()-A44+1)/(EDATE(A44,1)-A44)))</f>
        <v>0</v>
      </c>
    </row>
    <row r="45" ht="22" customHeight="1">
      <c r="A45" s="12">
        <f>DATE(B4,7,1)</f>
        <v>0</v>
      </c>
      <c r="B45" s="5">
        <f>SUMIFS('Hours Log'!$D$5:$D$504,'Hours Log'!$B$5:$B$504,"&gt;="&amp;$A45,'Hours Log'!$B$5:$B$504,"&lt;"&amp;EDATE(A45,1))</f>
        <v>0</v>
      </c>
      <c r="C45" s="5">
        <f>SUMIFS('Hours Log'!$E$5:$E$504,'Hours Log'!$B$5:$B$504,"&gt;="&amp;$A45,'Hours Log'!$B$5:$B$504,"&lt;"&amp;EDATE(A45,1))</f>
        <v>0</v>
      </c>
      <c r="D45" s="5">
        <f>SUMIFS('Hours Log'!$F$5:$F$504,'Hours Log'!$B$5:$B$504,"&gt;="&amp;$A45,'Hours Log'!$B$5:$B$504,"&lt;"&amp;EDATE(A45,1))</f>
        <v>0</v>
      </c>
      <c r="E45" s="8">
        <f>SUM(B45:D45)</f>
        <v>0</v>
      </c>
      <c r="F45" s="7">
        <f>IF(TODAY()&lt;A45,0,IF(TODAY()&gt;=EDATE(A45,1),1,(TODAY()-A45+1)/(EDATE(A45,1)-A45)))</f>
        <v>0</v>
      </c>
    </row>
    <row r="46" ht="22" customHeight="1">
      <c r="A46" s="12">
        <f>DATE(B4,8,1)</f>
        <v>0</v>
      </c>
      <c r="B46" s="5">
        <f>SUMIFS('Hours Log'!$D$5:$D$504,'Hours Log'!$B$5:$B$504,"&gt;="&amp;$A46,'Hours Log'!$B$5:$B$504,"&lt;"&amp;EDATE(A46,1))</f>
        <v>0</v>
      </c>
      <c r="C46" s="5">
        <f>SUMIFS('Hours Log'!$E$5:$E$504,'Hours Log'!$B$5:$B$504,"&gt;="&amp;$A46,'Hours Log'!$B$5:$B$504,"&lt;"&amp;EDATE(A46,1))</f>
        <v>0</v>
      </c>
      <c r="D46" s="5">
        <f>SUMIFS('Hours Log'!$F$5:$F$504,'Hours Log'!$B$5:$B$504,"&gt;="&amp;$A46,'Hours Log'!$B$5:$B$504,"&lt;"&amp;EDATE(A46,1))</f>
        <v>0</v>
      </c>
      <c r="E46" s="8">
        <f>SUM(B46:D46)</f>
        <v>0</v>
      </c>
      <c r="F46" s="7">
        <f>IF(TODAY()&lt;A46,0,IF(TODAY()&gt;=EDATE(A46,1),1,(TODAY()-A46+1)/(EDATE(A46,1)-A46)))</f>
        <v>0</v>
      </c>
    </row>
    <row r="47" ht="22" customHeight="1">
      <c r="A47" s="12">
        <f>DATE(B4,9,1)</f>
        <v>0</v>
      </c>
      <c r="B47" s="5">
        <f>SUMIFS('Hours Log'!$D$5:$D$504,'Hours Log'!$B$5:$B$504,"&gt;="&amp;$A47,'Hours Log'!$B$5:$B$504,"&lt;"&amp;EDATE(A47,1))</f>
        <v>0</v>
      </c>
      <c r="C47" s="5">
        <f>SUMIFS('Hours Log'!$E$5:$E$504,'Hours Log'!$B$5:$B$504,"&gt;="&amp;$A47,'Hours Log'!$B$5:$B$504,"&lt;"&amp;EDATE(A47,1))</f>
        <v>0</v>
      </c>
      <c r="D47" s="5">
        <f>SUMIFS('Hours Log'!$F$5:$F$504,'Hours Log'!$B$5:$B$504,"&gt;="&amp;$A47,'Hours Log'!$B$5:$B$504,"&lt;"&amp;EDATE(A47,1))</f>
        <v>0</v>
      </c>
      <c r="E47" s="8">
        <f>SUM(B47:D47)</f>
        <v>0</v>
      </c>
      <c r="F47" s="7">
        <f>IF(TODAY()&lt;A47,0,IF(TODAY()&gt;=EDATE(A47,1),1,(TODAY()-A47+1)/(EDATE(A47,1)-A47)))</f>
        <v>0</v>
      </c>
    </row>
    <row r="48" ht="27" customHeight="1">
      <c r="A48" s="2" t="inlineStr">
        <is>
          <t xml:space="preserve">FISCAL TOTAL</t>
        </is>
      </c>
      <c r="B48" s="8">
        <f>SUM(B36:B47)</f>
        <v>0</v>
      </c>
      <c r="C48" s="8">
        <f>SUM(C36:C47)</f>
        <v>0</v>
      </c>
      <c r="D48" s="8">
        <f>SUM(D36:D47)</f>
        <v>0</v>
      </c>
      <c r="E48" s="8">
        <f>SUM(E36:E47)</f>
        <v>0</v>
      </c>
      <c r="F48" s="7">
        <f>E15</f>
        <v>0</v>
      </c>
    </row>
    <row r="50" ht="22" customHeight="1">
      <c r="A50" s="13" t="inlineStr">
        <is>
          <t xml:space="preserve">FY 2027 includes Oct-Dec 2026 and Jan-Sep 2027; changing B4 selects any FY.</t>
        </is>
      </c>
    </row>
    <row r="13">
      <c r="Q13" t="inlineStr">
        <is>
          <t xml:space="preserve">Contact Hours</t>
        </is>
      </c>
      <c r="R13" s="5">
        <f>A7</f>
        <v>0</v>
      </c>
    </row>
    <row r="14">
      <c r="Q14" t="inlineStr">
        <is>
          <t xml:space="preserve">Production Hours</t>
        </is>
      </c>
      <c r="R14" s="5">
        <f>C7</f>
        <v>0</v>
      </c>
    </row>
    <row r="15">
      <c r="Q15" t="inlineStr">
        <is>
          <t xml:space="preserve">Consultation Hours</t>
        </is>
      </c>
      <c r="R15" s="5">
        <f>E7</f>
        <v>0</v>
      </c>
    </row>
    <row r="36">
      <c r="Q36" t="inlineStr">
        <is>
          <t xml:space="preserve">Oct</t>
        </is>
      </c>
    </row>
    <row r="37">
      <c r="Q37" t="inlineStr">
        <is>
          <t xml:space="preserve">Nov</t>
        </is>
      </c>
    </row>
    <row r="38">
      <c r="Q38" t="inlineStr">
        <is>
          <t xml:space="preserve">Dec</t>
        </is>
      </c>
    </row>
    <row r="39">
      <c r="Q39" t="inlineStr">
        <is>
          <t xml:space="preserve">Jan</t>
        </is>
      </c>
    </row>
    <row r="40">
      <c r="Q40" t="inlineStr">
        <is>
          <t xml:space="preserve">Feb</t>
        </is>
      </c>
    </row>
    <row r="41">
      <c r="Q41" t="inlineStr">
        <is>
          <t xml:space="preserve">Mar</t>
        </is>
      </c>
    </row>
    <row r="42">
      <c r="Q42" t="inlineStr">
        <is>
          <t xml:space="preserve">Apr</t>
        </is>
      </c>
    </row>
    <row r="43">
      <c r="Q43" t="inlineStr">
        <is>
          <t xml:space="preserve">May</t>
        </is>
      </c>
    </row>
    <row r="44">
      <c r="Q44" t="inlineStr">
        <is>
          <t xml:space="preserve">Jun</t>
        </is>
      </c>
    </row>
    <row r="45">
      <c r="Q45" t="inlineStr">
        <is>
          <t xml:space="preserve">Jul</t>
        </is>
      </c>
    </row>
    <row r="46">
      <c r="Q46" t="inlineStr">
        <is>
          <t xml:space="preserve">Aug</t>
        </is>
      </c>
    </row>
    <row r="47">
      <c r="Q47" t="inlineStr">
        <is>
          <t xml:space="preserve">Sep</t>
        </is>
      </c>
    </row>
  </sheetData>
  <dataValidations count="1">
    <dataValidation type="whole" operator="between" allowBlank="0" showInputMessage="1" showErrorMessage="1" sqref="B4">
      <formula1>2000</formula1>
      <formula2>2100</formula2>
    </dataValidation>
  </dataValidations>
  <conditionalFormatting sqref="F36:F48">
    <cfRule type="dataBar" priority="1">
      <dataBar showValue="1">
        <cfvo type="num" val="0"/>
        <cfvo type="num" val="1"/>
        <color rgb="FF5697D8"/>
      </dataBar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8"/>
  <cols>
    <col min="1" max="1" width="9" customWidth="1"/>
    <col min="2" max="2" width="16" customWidth="1"/>
    <col min="3" max="3" width="29" customWidth="1"/>
    <col min="4" max="4" width="19" customWidth="1"/>
    <col min="5" max="5" width="20" customWidth="1"/>
    <col min="6" max="6" width="23" customWidth="1"/>
    <col min="7" max="7" width="17" customWidth="1"/>
    <col min="8" max="8" width="14" customWidth="1"/>
    <col min="9" max="9" width="15" customWidth="1"/>
    <col min="10" max="10" width="45" customWidth="1"/>
    <col min="11" max="11" width="19" customWidth="1"/>
  </cols>
  <sheetData>
    <row r="1" ht="32" customHeight="1">
      <c r="A1" s="1" t="inlineStr">
        <is>
          <t xml:space="preserve">INSTRUCTOR HOURS LOG</t>
        </is>
      </c>
    </row>
    <row r="2" ht="23" customHeight="1">
      <c r="A2" s="13" t="inlineStr">
        <is>
          <t xml:space="preserve">Add one row per activity; enter dates and hours. Fiscal year, month, year and totals calculate automatically.</t>
        </is>
      </c>
    </row>
    <row r="4" ht="28" customHeight="1">
      <c r="A4" s="11" t="inlineStr">
        <is>
          <t xml:space="preserve">ENTRY #</t>
        </is>
      </c>
      <c r="B4" s="11" t="inlineStr">
        <is>
          <t xml:space="preserve">DATE</t>
        </is>
      </c>
      <c r="C4" s="11" t="inlineStr">
        <is>
          <t xml:space="preserve">CLASS</t>
        </is>
      </c>
      <c r="D4" s="11" t="inlineStr">
        <is>
          <t xml:space="preserve">CONTACT HOURS</t>
        </is>
      </c>
      <c r="E4" s="11" t="inlineStr">
        <is>
          <t xml:space="preserve">PRODUCTION HOURS</t>
        </is>
      </c>
      <c r="F4" s="11" t="inlineStr">
        <is>
          <t xml:space="preserve">CONSULTATION HOURS</t>
        </is>
      </c>
      <c r="G4" s="11" t="inlineStr">
        <is>
          <t xml:space="preserve">TOTAL HOURS</t>
        </is>
      </c>
      <c r="H4" s="11" t="inlineStr">
        <is>
          <t xml:space="preserve">MONTH</t>
        </is>
      </c>
      <c r="I4" s="11" t="inlineStr">
        <is>
          <t xml:space="preserve">YEAR</t>
        </is>
      </c>
      <c r="J4" s="11" t="inlineStr">
        <is>
          <t xml:space="preserve">NOTES</t>
        </is>
      </c>
      <c r="K4" s="11" t="inlineStr">
        <is>
          <t xml:space="preserve">FISCAL YEAR</t>
        </is>
      </c>
    </row>
    <row r="5">
      <c r="A5">
        <v>1</v>
      </c>
      <c r="G5" s="5">
        <f>IF(B5="","",SUM(D5:F5))</f>
        <v>0</v>
      </c>
      <c r="H5">
        <f>IF(B5="","",TEXT(B5,"mmm"))</f>
        <v>0</v>
      </c>
      <c r="I5">
        <f>IF(B5="","",YEAR(B5))</f>
        <v>0</v>
      </c>
      <c r="K5">
        <f>IF(B5="","",YEAR(B5)+IF(MONTH(B5)&gt;=10,1,0))</f>
        <v>0</v>
      </c>
    </row>
    <row r="6">
      <c r="A6">
        <v>2</v>
      </c>
      <c r="G6" s="5">
        <f>IF(B6="","",SUM(D6:F6))</f>
        <v>0</v>
      </c>
      <c r="H6">
        <f>IF(B6="","",TEXT(B6,"mmm"))</f>
        <v>0</v>
      </c>
      <c r="I6">
        <f>IF(B6="","",YEAR(B6))</f>
        <v>0</v>
      </c>
      <c r="K6">
        <f>IF(B6="","",YEAR(B6)+IF(MONTH(B6)&gt;=10,1,0))</f>
        <v>0</v>
      </c>
    </row>
    <row r="7">
      <c r="A7">
        <v>3</v>
      </c>
      <c r="G7" s="5">
        <f>IF(B7="","",SUM(D7:F7))</f>
        <v>0</v>
      </c>
      <c r="H7">
        <f>IF(B7="","",TEXT(B7,"mmm"))</f>
        <v>0</v>
      </c>
      <c r="I7">
        <f>IF(B7="","",YEAR(B7))</f>
        <v>0</v>
      </c>
      <c r="K7">
        <f>IF(B7="","",YEAR(B7)+IF(MONTH(B7)&gt;=10,1,0))</f>
        <v>0</v>
      </c>
    </row>
    <row r="8">
      <c r="A8">
        <v>4</v>
      </c>
      <c r="G8" s="5">
        <f>IF(B8="","",SUM(D8:F8))</f>
        <v>0</v>
      </c>
      <c r="H8">
        <f>IF(B8="","",TEXT(B8,"mmm"))</f>
        <v>0</v>
      </c>
      <c r="I8">
        <f>IF(B8="","",YEAR(B8))</f>
        <v>0</v>
      </c>
      <c r="K8">
        <f>IF(B8="","",YEAR(B8)+IF(MONTH(B8)&gt;=10,1,0))</f>
        <v>0</v>
      </c>
    </row>
    <row r="9">
      <c r="A9">
        <v>5</v>
      </c>
      <c r="G9" s="5">
        <f>IF(B9="","",SUM(D9:F9))</f>
        <v>0</v>
      </c>
      <c r="H9">
        <f>IF(B9="","",TEXT(B9,"mmm"))</f>
        <v>0</v>
      </c>
      <c r="I9">
        <f>IF(B9="","",YEAR(B9))</f>
        <v>0</v>
      </c>
      <c r="K9">
        <f>IF(B9="","",YEAR(B9)+IF(MONTH(B9)&gt;=10,1,0))</f>
        <v>0</v>
      </c>
    </row>
    <row r="10">
      <c r="A10">
        <v>6</v>
      </c>
      <c r="G10" s="5">
        <f>IF(B10="","",SUM(D10:F10))</f>
        <v>0</v>
      </c>
      <c r="H10">
        <f>IF(B10="","",TEXT(B10,"mmm"))</f>
        <v>0</v>
      </c>
      <c r="I10">
        <f>IF(B10="","",YEAR(B10))</f>
        <v>0</v>
      </c>
      <c r="K10">
        <f>IF(B10="","",YEAR(B10)+IF(MONTH(B10)&gt;=10,1,0))</f>
        <v>0</v>
      </c>
    </row>
    <row r="11">
      <c r="A11">
        <v>7</v>
      </c>
      <c r="G11" s="5">
        <f>IF(B11="","",SUM(D11:F11))</f>
        <v>0</v>
      </c>
      <c r="H11">
        <f>IF(B11="","",TEXT(B11,"mmm"))</f>
        <v>0</v>
      </c>
      <c r="I11">
        <f>IF(B11="","",YEAR(B11))</f>
        <v>0</v>
      </c>
      <c r="K11">
        <f>IF(B11="","",YEAR(B11)+IF(MONTH(B11)&gt;=10,1,0))</f>
        <v>0</v>
      </c>
    </row>
    <row r="12">
      <c r="A12">
        <v>8</v>
      </c>
      <c r="G12" s="5">
        <f>IF(B12="","",SUM(D12:F12))</f>
        <v>0</v>
      </c>
      <c r="H12">
        <f>IF(B12="","",TEXT(B12,"mmm"))</f>
        <v>0</v>
      </c>
      <c r="I12">
        <f>IF(B12="","",YEAR(B12))</f>
        <v>0</v>
      </c>
      <c r="K12">
        <f>IF(B12="","",YEAR(B12)+IF(MONTH(B12)&gt;=10,1,0))</f>
        <v>0</v>
      </c>
    </row>
    <row r="13">
      <c r="A13">
        <v>9</v>
      </c>
      <c r="G13" s="5">
        <f>IF(B13="","",SUM(D13:F13))</f>
        <v>0</v>
      </c>
      <c r="H13">
        <f>IF(B13="","",TEXT(B13,"mmm"))</f>
        <v>0</v>
      </c>
      <c r="I13">
        <f>IF(B13="","",YEAR(B13))</f>
        <v>0</v>
      </c>
      <c r="K13">
        <f>IF(B13="","",YEAR(B13)+IF(MONTH(B13)&gt;=10,1,0))</f>
        <v>0</v>
      </c>
    </row>
    <row r="14">
      <c r="A14">
        <v>10</v>
      </c>
      <c r="G14" s="5">
        <f>IF(B14="","",SUM(D14:F14))</f>
        <v>0</v>
      </c>
      <c r="H14">
        <f>IF(B14="","",TEXT(B14,"mmm"))</f>
        <v>0</v>
      </c>
      <c r="I14">
        <f>IF(B14="","",YEAR(B14))</f>
        <v>0</v>
      </c>
      <c r="K14">
        <f>IF(B14="","",YEAR(B14)+IF(MONTH(B14)&gt;=10,1,0))</f>
        <v>0</v>
      </c>
    </row>
    <row r="15">
      <c r="A15">
        <v>11</v>
      </c>
      <c r="G15" s="5">
        <f>IF(B15="","",SUM(D15:F15))</f>
        <v>0</v>
      </c>
      <c r="H15">
        <f>IF(B15="","",TEXT(B15,"mmm"))</f>
        <v>0</v>
      </c>
      <c r="I15">
        <f>IF(B15="","",YEAR(B15))</f>
        <v>0</v>
      </c>
      <c r="K15">
        <f>IF(B15="","",YEAR(B15)+IF(MONTH(B15)&gt;=10,1,0))</f>
        <v>0</v>
      </c>
    </row>
    <row r="16">
      <c r="A16">
        <v>12</v>
      </c>
      <c r="G16" s="5">
        <f>IF(B16="","",SUM(D16:F16))</f>
        <v>0</v>
      </c>
      <c r="H16">
        <f>IF(B16="","",TEXT(B16,"mmm"))</f>
        <v>0</v>
      </c>
      <c r="I16">
        <f>IF(B16="","",YEAR(B16))</f>
        <v>0</v>
      </c>
      <c r="K16">
        <f>IF(B16="","",YEAR(B16)+IF(MONTH(B16)&gt;=10,1,0))</f>
        <v>0</v>
      </c>
    </row>
    <row r="17">
      <c r="A17">
        <v>13</v>
      </c>
      <c r="G17" s="5">
        <f>IF(B17="","",SUM(D17:F17))</f>
        <v>0</v>
      </c>
      <c r="H17">
        <f>IF(B17="","",TEXT(B17,"mmm"))</f>
        <v>0</v>
      </c>
      <c r="I17">
        <f>IF(B17="","",YEAR(B17))</f>
        <v>0</v>
      </c>
      <c r="K17">
        <f>IF(B17="","",YEAR(B17)+IF(MONTH(B17)&gt;=10,1,0))</f>
        <v>0</v>
      </c>
    </row>
    <row r="18">
      <c r="A18">
        <v>14</v>
      </c>
      <c r="G18" s="5">
        <f>IF(B18="","",SUM(D18:F18))</f>
        <v>0</v>
      </c>
      <c r="H18">
        <f>IF(B18="","",TEXT(B18,"mmm"))</f>
        <v>0</v>
      </c>
      <c r="I18">
        <f>IF(B18="","",YEAR(B18))</f>
        <v>0</v>
      </c>
      <c r="K18">
        <f>IF(B18="","",YEAR(B18)+IF(MONTH(B18)&gt;=10,1,0))</f>
        <v>0</v>
      </c>
    </row>
    <row r="19">
      <c r="A19">
        <v>15</v>
      </c>
      <c r="G19" s="5">
        <f>IF(B19="","",SUM(D19:F19))</f>
        <v>0</v>
      </c>
      <c r="H19">
        <f>IF(B19="","",TEXT(B19,"mmm"))</f>
        <v>0</v>
      </c>
      <c r="I19">
        <f>IF(B19="","",YEAR(B19))</f>
        <v>0</v>
      </c>
      <c r="K19">
        <f>IF(B19="","",YEAR(B19)+IF(MONTH(B19)&gt;=10,1,0))</f>
        <v>0</v>
      </c>
    </row>
    <row r="20">
      <c r="A20">
        <v>16</v>
      </c>
      <c r="G20" s="5">
        <f>IF(B20="","",SUM(D20:F20))</f>
        <v>0</v>
      </c>
      <c r="H20">
        <f>IF(B20="","",TEXT(B20,"mmm"))</f>
        <v>0</v>
      </c>
      <c r="I20">
        <f>IF(B20="","",YEAR(B20))</f>
        <v>0</v>
      </c>
      <c r="K20">
        <f>IF(B20="","",YEAR(B20)+IF(MONTH(B20)&gt;=10,1,0))</f>
        <v>0</v>
      </c>
    </row>
    <row r="21">
      <c r="A21">
        <v>17</v>
      </c>
      <c r="G21" s="5">
        <f>IF(B21="","",SUM(D21:F21))</f>
        <v>0</v>
      </c>
      <c r="H21">
        <f>IF(B21="","",TEXT(B21,"mmm"))</f>
        <v>0</v>
      </c>
      <c r="I21">
        <f>IF(B21="","",YEAR(B21))</f>
        <v>0</v>
      </c>
      <c r="K21">
        <f>IF(B21="","",YEAR(B21)+IF(MONTH(B21)&gt;=10,1,0))</f>
        <v>0</v>
      </c>
    </row>
    <row r="22">
      <c r="A22">
        <v>18</v>
      </c>
      <c r="G22" s="5">
        <f>IF(B22="","",SUM(D22:F22))</f>
        <v>0</v>
      </c>
      <c r="H22">
        <f>IF(B22="","",TEXT(B22,"mmm"))</f>
        <v>0</v>
      </c>
      <c r="I22">
        <f>IF(B22="","",YEAR(B22))</f>
        <v>0</v>
      </c>
      <c r="K22">
        <f>IF(B22="","",YEAR(B22)+IF(MONTH(B22)&gt;=10,1,0))</f>
        <v>0</v>
      </c>
    </row>
    <row r="23">
      <c r="A23">
        <v>19</v>
      </c>
      <c r="G23" s="5">
        <f>IF(B23="","",SUM(D23:F23))</f>
        <v>0</v>
      </c>
      <c r="H23">
        <f>IF(B23="","",TEXT(B23,"mmm"))</f>
        <v>0</v>
      </c>
      <c r="I23">
        <f>IF(B23="","",YEAR(B23))</f>
        <v>0</v>
      </c>
      <c r="K23">
        <f>IF(B23="","",YEAR(B23)+IF(MONTH(B23)&gt;=10,1,0))</f>
        <v>0</v>
      </c>
    </row>
    <row r="24">
      <c r="A24">
        <v>20</v>
      </c>
      <c r="G24" s="5">
        <f>IF(B24="","",SUM(D24:F24))</f>
        <v>0</v>
      </c>
      <c r="H24">
        <f>IF(B24="","",TEXT(B24,"mmm"))</f>
        <v>0</v>
      </c>
      <c r="I24">
        <f>IF(B24="","",YEAR(B24))</f>
        <v>0</v>
      </c>
      <c r="K24">
        <f>IF(B24="","",YEAR(B24)+IF(MONTH(B24)&gt;=10,1,0))</f>
        <v>0</v>
      </c>
    </row>
    <row r="25">
      <c r="A25">
        <v>21</v>
      </c>
      <c r="G25" s="5">
        <f>IF(B25="","",SUM(D25:F25))</f>
        <v>0</v>
      </c>
      <c r="H25">
        <f>IF(B25="","",TEXT(B25,"mmm"))</f>
        <v>0</v>
      </c>
      <c r="I25">
        <f>IF(B25="","",YEAR(B25))</f>
        <v>0</v>
      </c>
      <c r="K25">
        <f>IF(B25="","",YEAR(B25)+IF(MONTH(B25)&gt;=10,1,0))</f>
        <v>0</v>
      </c>
    </row>
    <row r="26">
      <c r="A26">
        <v>22</v>
      </c>
      <c r="G26" s="5">
        <f>IF(B26="","",SUM(D26:F26))</f>
        <v>0</v>
      </c>
      <c r="H26">
        <f>IF(B26="","",TEXT(B26,"mmm"))</f>
        <v>0</v>
      </c>
      <c r="I26">
        <f>IF(B26="","",YEAR(B26))</f>
        <v>0</v>
      </c>
      <c r="K26">
        <f>IF(B26="","",YEAR(B26)+IF(MONTH(B26)&gt;=10,1,0))</f>
        <v>0</v>
      </c>
    </row>
    <row r="27">
      <c r="A27">
        <v>23</v>
      </c>
      <c r="G27" s="5">
        <f>IF(B27="","",SUM(D27:F27))</f>
        <v>0</v>
      </c>
      <c r="H27">
        <f>IF(B27="","",TEXT(B27,"mmm"))</f>
        <v>0</v>
      </c>
      <c r="I27">
        <f>IF(B27="","",YEAR(B27))</f>
        <v>0</v>
      </c>
      <c r="K27">
        <f>IF(B27="","",YEAR(B27)+IF(MONTH(B27)&gt;=10,1,0))</f>
        <v>0</v>
      </c>
    </row>
    <row r="28">
      <c r="A28">
        <v>24</v>
      </c>
      <c r="G28" s="5">
        <f>IF(B28="","",SUM(D28:F28))</f>
        <v>0</v>
      </c>
      <c r="H28">
        <f>IF(B28="","",TEXT(B28,"mmm"))</f>
        <v>0</v>
      </c>
      <c r="I28">
        <f>IF(B28="","",YEAR(B28))</f>
        <v>0</v>
      </c>
      <c r="K28">
        <f>IF(B28="","",YEAR(B28)+IF(MONTH(B28)&gt;=10,1,0))</f>
        <v>0</v>
      </c>
    </row>
    <row r="29">
      <c r="A29">
        <v>25</v>
      </c>
      <c r="G29" s="5">
        <f>IF(B29="","",SUM(D29:F29))</f>
        <v>0</v>
      </c>
      <c r="H29">
        <f>IF(B29="","",TEXT(B29,"mmm"))</f>
        <v>0</v>
      </c>
      <c r="I29">
        <f>IF(B29="","",YEAR(B29))</f>
        <v>0</v>
      </c>
      <c r="K29">
        <f>IF(B29="","",YEAR(B29)+IF(MONTH(B29)&gt;=10,1,0))</f>
        <v>0</v>
      </c>
    </row>
    <row r="30">
      <c r="A30">
        <v>26</v>
      </c>
      <c r="G30" s="5">
        <f>IF(B30="","",SUM(D30:F30))</f>
        <v>0</v>
      </c>
      <c r="H30">
        <f>IF(B30="","",TEXT(B30,"mmm"))</f>
        <v>0</v>
      </c>
      <c r="I30">
        <f>IF(B30="","",YEAR(B30))</f>
        <v>0</v>
      </c>
      <c r="K30">
        <f>IF(B30="","",YEAR(B30)+IF(MONTH(B30)&gt;=10,1,0))</f>
        <v>0</v>
      </c>
    </row>
    <row r="31">
      <c r="A31">
        <v>27</v>
      </c>
      <c r="G31" s="5">
        <f>IF(B31="","",SUM(D31:F31))</f>
        <v>0</v>
      </c>
      <c r="H31">
        <f>IF(B31="","",TEXT(B31,"mmm"))</f>
        <v>0</v>
      </c>
      <c r="I31">
        <f>IF(B31="","",YEAR(B31))</f>
        <v>0</v>
      </c>
      <c r="K31">
        <f>IF(B31="","",YEAR(B31)+IF(MONTH(B31)&gt;=10,1,0))</f>
        <v>0</v>
      </c>
    </row>
    <row r="32">
      <c r="A32">
        <v>28</v>
      </c>
      <c r="G32" s="5">
        <f>IF(B32="","",SUM(D32:F32))</f>
        <v>0</v>
      </c>
      <c r="H32">
        <f>IF(B32="","",TEXT(B32,"mmm"))</f>
        <v>0</v>
      </c>
      <c r="I32">
        <f>IF(B32="","",YEAR(B32))</f>
        <v>0</v>
      </c>
      <c r="K32">
        <f>IF(B32="","",YEAR(B32)+IF(MONTH(B32)&gt;=10,1,0))</f>
        <v>0</v>
      </c>
    </row>
    <row r="33">
      <c r="A33">
        <v>29</v>
      </c>
      <c r="G33" s="5">
        <f>IF(B33="","",SUM(D33:F33))</f>
        <v>0</v>
      </c>
      <c r="H33">
        <f>IF(B33="","",TEXT(B33,"mmm"))</f>
        <v>0</v>
      </c>
      <c r="I33">
        <f>IF(B33="","",YEAR(B33))</f>
        <v>0</v>
      </c>
      <c r="K33">
        <f>IF(B33="","",YEAR(B33)+IF(MONTH(B33)&gt;=10,1,0))</f>
        <v>0</v>
      </c>
    </row>
    <row r="34">
      <c r="A34">
        <v>30</v>
      </c>
      <c r="G34" s="5">
        <f>IF(B34="","",SUM(D34:F34))</f>
        <v>0</v>
      </c>
      <c r="H34">
        <f>IF(B34="","",TEXT(B34,"mmm"))</f>
        <v>0</v>
      </c>
      <c r="I34">
        <f>IF(B34="","",YEAR(B34))</f>
        <v>0</v>
      </c>
      <c r="K34">
        <f>IF(B34="","",YEAR(B34)+IF(MONTH(B34)&gt;=10,1,0))</f>
        <v>0</v>
      </c>
    </row>
    <row r="35">
      <c r="A35">
        <v>31</v>
      </c>
      <c r="G35" s="5">
        <f>IF(B35="","",SUM(D35:F35))</f>
        <v>0</v>
      </c>
      <c r="H35">
        <f>IF(B35="","",TEXT(B35,"mmm"))</f>
        <v>0</v>
      </c>
      <c r="I35">
        <f>IF(B35="","",YEAR(B35))</f>
        <v>0</v>
      </c>
      <c r="K35">
        <f>IF(B35="","",YEAR(B35)+IF(MONTH(B35)&gt;=10,1,0))</f>
        <v>0</v>
      </c>
    </row>
    <row r="36">
      <c r="A36">
        <v>32</v>
      </c>
      <c r="G36" s="5">
        <f>IF(B36="","",SUM(D36:F36))</f>
        <v>0</v>
      </c>
      <c r="H36">
        <f>IF(B36="","",TEXT(B36,"mmm"))</f>
        <v>0</v>
      </c>
      <c r="I36">
        <f>IF(B36="","",YEAR(B36))</f>
        <v>0</v>
      </c>
      <c r="K36">
        <f>IF(B36="","",YEAR(B36)+IF(MONTH(B36)&gt;=10,1,0))</f>
        <v>0</v>
      </c>
    </row>
    <row r="37">
      <c r="A37">
        <v>33</v>
      </c>
      <c r="G37" s="5">
        <f>IF(B37="","",SUM(D37:F37))</f>
        <v>0</v>
      </c>
      <c r="H37">
        <f>IF(B37="","",TEXT(B37,"mmm"))</f>
        <v>0</v>
      </c>
      <c r="I37">
        <f>IF(B37="","",YEAR(B37))</f>
        <v>0</v>
      </c>
      <c r="K37">
        <f>IF(B37="","",YEAR(B37)+IF(MONTH(B37)&gt;=10,1,0))</f>
        <v>0</v>
      </c>
    </row>
    <row r="38">
      <c r="A38">
        <v>34</v>
      </c>
      <c r="G38" s="5">
        <f>IF(B38="","",SUM(D38:F38))</f>
        <v>0</v>
      </c>
      <c r="H38">
        <f>IF(B38="","",TEXT(B38,"mmm"))</f>
        <v>0</v>
      </c>
      <c r="I38">
        <f>IF(B38="","",YEAR(B38))</f>
        <v>0</v>
      </c>
      <c r="K38">
        <f>IF(B38="","",YEAR(B38)+IF(MONTH(B38)&gt;=10,1,0))</f>
        <v>0</v>
      </c>
    </row>
    <row r="39">
      <c r="A39">
        <v>35</v>
      </c>
      <c r="G39" s="5">
        <f>IF(B39="","",SUM(D39:F39))</f>
        <v>0</v>
      </c>
      <c r="H39">
        <f>IF(B39="","",TEXT(B39,"mmm"))</f>
        <v>0</v>
      </c>
      <c r="I39">
        <f>IF(B39="","",YEAR(B39))</f>
        <v>0</v>
      </c>
      <c r="K39">
        <f>IF(B39="","",YEAR(B39)+IF(MONTH(B39)&gt;=10,1,0))</f>
        <v>0</v>
      </c>
    </row>
    <row r="40">
      <c r="A40">
        <v>36</v>
      </c>
      <c r="G40" s="5">
        <f>IF(B40="","",SUM(D40:F40))</f>
        <v>0</v>
      </c>
      <c r="H40">
        <f>IF(B40="","",TEXT(B40,"mmm"))</f>
        <v>0</v>
      </c>
      <c r="I40">
        <f>IF(B40="","",YEAR(B40))</f>
        <v>0</v>
      </c>
      <c r="K40">
        <f>IF(B40="","",YEAR(B40)+IF(MONTH(B40)&gt;=10,1,0))</f>
        <v>0</v>
      </c>
    </row>
    <row r="41">
      <c r="A41">
        <v>37</v>
      </c>
      <c r="G41" s="5">
        <f>IF(B41="","",SUM(D41:F41))</f>
        <v>0</v>
      </c>
      <c r="H41">
        <f>IF(B41="","",TEXT(B41,"mmm"))</f>
        <v>0</v>
      </c>
      <c r="I41">
        <f>IF(B41="","",YEAR(B41))</f>
        <v>0</v>
      </c>
      <c r="K41">
        <f>IF(B41="","",YEAR(B41)+IF(MONTH(B41)&gt;=10,1,0))</f>
        <v>0</v>
      </c>
    </row>
    <row r="42">
      <c r="A42">
        <v>38</v>
      </c>
      <c r="G42" s="5">
        <f>IF(B42="","",SUM(D42:F42))</f>
        <v>0</v>
      </c>
      <c r="H42">
        <f>IF(B42="","",TEXT(B42,"mmm"))</f>
        <v>0</v>
      </c>
      <c r="I42">
        <f>IF(B42="","",YEAR(B42))</f>
        <v>0</v>
      </c>
      <c r="K42">
        <f>IF(B42="","",YEAR(B42)+IF(MONTH(B42)&gt;=10,1,0))</f>
        <v>0</v>
      </c>
    </row>
    <row r="43">
      <c r="A43">
        <v>39</v>
      </c>
      <c r="G43" s="5">
        <f>IF(B43="","",SUM(D43:F43))</f>
        <v>0</v>
      </c>
      <c r="H43">
        <f>IF(B43="","",TEXT(B43,"mmm"))</f>
        <v>0</v>
      </c>
      <c r="I43">
        <f>IF(B43="","",YEAR(B43))</f>
        <v>0</v>
      </c>
      <c r="K43">
        <f>IF(B43="","",YEAR(B43)+IF(MONTH(B43)&gt;=10,1,0))</f>
        <v>0</v>
      </c>
    </row>
    <row r="44">
      <c r="A44">
        <v>40</v>
      </c>
      <c r="G44" s="5">
        <f>IF(B44="","",SUM(D44:F44))</f>
        <v>0</v>
      </c>
      <c r="H44">
        <f>IF(B44="","",TEXT(B44,"mmm"))</f>
        <v>0</v>
      </c>
      <c r="I44">
        <f>IF(B44="","",YEAR(B44))</f>
        <v>0</v>
      </c>
      <c r="K44">
        <f>IF(B44="","",YEAR(B44)+IF(MONTH(B44)&gt;=10,1,0))</f>
        <v>0</v>
      </c>
    </row>
    <row r="45">
      <c r="A45">
        <v>41</v>
      </c>
      <c r="G45" s="5">
        <f>IF(B45="","",SUM(D45:F45))</f>
        <v>0</v>
      </c>
      <c r="H45">
        <f>IF(B45="","",TEXT(B45,"mmm"))</f>
        <v>0</v>
      </c>
      <c r="I45">
        <f>IF(B45="","",YEAR(B45))</f>
        <v>0</v>
      </c>
      <c r="K45">
        <f>IF(B45="","",YEAR(B45)+IF(MONTH(B45)&gt;=10,1,0))</f>
        <v>0</v>
      </c>
    </row>
    <row r="46">
      <c r="A46">
        <v>42</v>
      </c>
      <c r="G46" s="5">
        <f>IF(B46="","",SUM(D46:F46))</f>
        <v>0</v>
      </c>
      <c r="H46">
        <f>IF(B46="","",TEXT(B46,"mmm"))</f>
        <v>0</v>
      </c>
      <c r="I46">
        <f>IF(B46="","",YEAR(B46))</f>
        <v>0</v>
      </c>
      <c r="K46">
        <f>IF(B46="","",YEAR(B46)+IF(MONTH(B46)&gt;=10,1,0))</f>
        <v>0</v>
      </c>
    </row>
    <row r="47">
      <c r="A47">
        <v>43</v>
      </c>
      <c r="G47" s="5">
        <f>IF(B47="","",SUM(D47:F47))</f>
        <v>0</v>
      </c>
      <c r="H47">
        <f>IF(B47="","",TEXT(B47,"mmm"))</f>
        <v>0</v>
      </c>
      <c r="I47">
        <f>IF(B47="","",YEAR(B47))</f>
        <v>0</v>
      </c>
      <c r="K47">
        <f>IF(B47="","",YEAR(B47)+IF(MONTH(B47)&gt;=10,1,0))</f>
        <v>0</v>
      </c>
    </row>
    <row r="48">
      <c r="A48">
        <v>44</v>
      </c>
      <c r="G48" s="5">
        <f>IF(B48="","",SUM(D48:F48))</f>
        <v>0</v>
      </c>
      <c r="H48">
        <f>IF(B48="","",TEXT(B48,"mmm"))</f>
        <v>0</v>
      </c>
      <c r="I48">
        <f>IF(B48="","",YEAR(B48))</f>
        <v>0</v>
      </c>
      <c r="K48">
        <f>IF(B48="","",YEAR(B48)+IF(MONTH(B48)&gt;=10,1,0))</f>
        <v>0</v>
      </c>
    </row>
    <row r="49">
      <c r="A49">
        <v>45</v>
      </c>
      <c r="G49" s="5">
        <f>IF(B49="","",SUM(D49:F49))</f>
        <v>0</v>
      </c>
      <c r="H49">
        <f>IF(B49="","",TEXT(B49,"mmm"))</f>
        <v>0</v>
      </c>
      <c r="I49">
        <f>IF(B49="","",YEAR(B49))</f>
        <v>0</v>
      </c>
      <c r="K49">
        <f>IF(B49="","",YEAR(B49)+IF(MONTH(B49)&gt;=10,1,0))</f>
        <v>0</v>
      </c>
    </row>
    <row r="50">
      <c r="A50">
        <v>46</v>
      </c>
      <c r="G50" s="5">
        <f>IF(B50="","",SUM(D50:F50))</f>
        <v>0</v>
      </c>
      <c r="H50">
        <f>IF(B50="","",TEXT(B50,"mmm"))</f>
        <v>0</v>
      </c>
      <c r="I50">
        <f>IF(B50="","",YEAR(B50))</f>
        <v>0</v>
      </c>
      <c r="K50">
        <f>IF(B50="","",YEAR(B50)+IF(MONTH(B50)&gt;=10,1,0))</f>
        <v>0</v>
      </c>
    </row>
    <row r="51">
      <c r="A51">
        <v>47</v>
      </c>
      <c r="G51" s="5">
        <f>IF(B51="","",SUM(D51:F51))</f>
        <v>0</v>
      </c>
      <c r="H51">
        <f>IF(B51="","",TEXT(B51,"mmm"))</f>
        <v>0</v>
      </c>
      <c r="I51">
        <f>IF(B51="","",YEAR(B51))</f>
        <v>0</v>
      </c>
      <c r="K51">
        <f>IF(B51="","",YEAR(B51)+IF(MONTH(B51)&gt;=10,1,0))</f>
        <v>0</v>
      </c>
    </row>
    <row r="52">
      <c r="A52">
        <v>48</v>
      </c>
      <c r="G52" s="5">
        <f>IF(B52="","",SUM(D52:F52))</f>
        <v>0</v>
      </c>
      <c r="H52">
        <f>IF(B52="","",TEXT(B52,"mmm"))</f>
        <v>0</v>
      </c>
      <c r="I52">
        <f>IF(B52="","",YEAR(B52))</f>
        <v>0</v>
      </c>
      <c r="K52">
        <f>IF(B52="","",YEAR(B52)+IF(MONTH(B52)&gt;=10,1,0))</f>
        <v>0</v>
      </c>
    </row>
    <row r="53">
      <c r="A53">
        <v>49</v>
      </c>
      <c r="G53" s="5">
        <f>IF(B53="","",SUM(D53:F53))</f>
        <v>0</v>
      </c>
      <c r="H53">
        <f>IF(B53="","",TEXT(B53,"mmm"))</f>
        <v>0</v>
      </c>
      <c r="I53">
        <f>IF(B53="","",YEAR(B53))</f>
        <v>0</v>
      </c>
      <c r="K53">
        <f>IF(B53="","",YEAR(B53)+IF(MONTH(B53)&gt;=10,1,0))</f>
        <v>0</v>
      </c>
    </row>
    <row r="54">
      <c r="A54">
        <v>50</v>
      </c>
      <c r="G54" s="5">
        <f>IF(B54="","",SUM(D54:F54))</f>
        <v>0</v>
      </c>
      <c r="H54">
        <f>IF(B54="","",TEXT(B54,"mmm"))</f>
        <v>0</v>
      </c>
      <c r="I54">
        <f>IF(B54="","",YEAR(B54))</f>
        <v>0</v>
      </c>
      <c r="K54">
        <f>IF(B54="","",YEAR(B54)+IF(MONTH(B54)&gt;=10,1,0))</f>
        <v>0</v>
      </c>
    </row>
    <row r="55">
      <c r="A55">
        <v>51</v>
      </c>
      <c r="G55" s="5">
        <f>IF(B55="","",SUM(D55:F55))</f>
        <v>0</v>
      </c>
      <c r="H55">
        <f>IF(B55="","",TEXT(B55,"mmm"))</f>
        <v>0</v>
      </c>
      <c r="I55">
        <f>IF(B55="","",YEAR(B55))</f>
        <v>0</v>
      </c>
      <c r="K55">
        <f>IF(B55="","",YEAR(B55)+IF(MONTH(B55)&gt;=10,1,0))</f>
        <v>0</v>
      </c>
    </row>
    <row r="56">
      <c r="A56">
        <v>52</v>
      </c>
      <c r="G56" s="5">
        <f>IF(B56="","",SUM(D56:F56))</f>
        <v>0</v>
      </c>
      <c r="H56">
        <f>IF(B56="","",TEXT(B56,"mmm"))</f>
        <v>0</v>
      </c>
      <c r="I56">
        <f>IF(B56="","",YEAR(B56))</f>
        <v>0</v>
      </c>
      <c r="K56">
        <f>IF(B56="","",YEAR(B56)+IF(MONTH(B56)&gt;=10,1,0))</f>
        <v>0</v>
      </c>
    </row>
    <row r="57">
      <c r="A57">
        <v>53</v>
      </c>
      <c r="G57" s="5">
        <f>IF(B57="","",SUM(D57:F57))</f>
        <v>0</v>
      </c>
      <c r="H57">
        <f>IF(B57="","",TEXT(B57,"mmm"))</f>
        <v>0</v>
      </c>
      <c r="I57">
        <f>IF(B57="","",YEAR(B57))</f>
        <v>0</v>
      </c>
      <c r="K57">
        <f>IF(B57="","",YEAR(B57)+IF(MONTH(B57)&gt;=10,1,0))</f>
        <v>0</v>
      </c>
    </row>
    <row r="58">
      <c r="A58">
        <v>54</v>
      </c>
      <c r="G58" s="5">
        <f>IF(B58="","",SUM(D58:F58))</f>
        <v>0</v>
      </c>
      <c r="H58">
        <f>IF(B58="","",TEXT(B58,"mmm"))</f>
        <v>0</v>
      </c>
      <c r="I58">
        <f>IF(B58="","",YEAR(B58))</f>
        <v>0</v>
      </c>
      <c r="K58">
        <f>IF(B58="","",YEAR(B58)+IF(MONTH(B58)&gt;=10,1,0))</f>
        <v>0</v>
      </c>
    </row>
    <row r="59">
      <c r="A59">
        <v>55</v>
      </c>
      <c r="G59" s="5">
        <f>IF(B59="","",SUM(D59:F59))</f>
        <v>0</v>
      </c>
      <c r="H59">
        <f>IF(B59="","",TEXT(B59,"mmm"))</f>
        <v>0</v>
      </c>
      <c r="I59">
        <f>IF(B59="","",YEAR(B59))</f>
        <v>0</v>
      </c>
      <c r="K59">
        <f>IF(B59="","",YEAR(B59)+IF(MONTH(B59)&gt;=10,1,0))</f>
        <v>0</v>
      </c>
    </row>
    <row r="60">
      <c r="A60">
        <v>56</v>
      </c>
      <c r="G60" s="5">
        <f>IF(B60="","",SUM(D60:F60))</f>
        <v>0</v>
      </c>
      <c r="H60">
        <f>IF(B60="","",TEXT(B60,"mmm"))</f>
        <v>0</v>
      </c>
      <c r="I60">
        <f>IF(B60="","",YEAR(B60))</f>
        <v>0</v>
      </c>
      <c r="K60">
        <f>IF(B60="","",YEAR(B60)+IF(MONTH(B60)&gt;=10,1,0))</f>
        <v>0</v>
      </c>
    </row>
    <row r="61">
      <c r="A61">
        <v>57</v>
      </c>
      <c r="G61" s="5">
        <f>IF(B61="","",SUM(D61:F61))</f>
        <v>0</v>
      </c>
      <c r="H61">
        <f>IF(B61="","",TEXT(B61,"mmm"))</f>
        <v>0</v>
      </c>
      <c r="I61">
        <f>IF(B61="","",YEAR(B61))</f>
        <v>0</v>
      </c>
      <c r="K61">
        <f>IF(B61="","",YEAR(B61)+IF(MONTH(B61)&gt;=10,1,0))</f>
        <v>0</v>
      </c>
    </row>
    <row r="62">
      <c r="A62">
        <v>58</v>
      </c>
      <c r="G62" s="5">
        <f>IF(B62="","",SUM(D62:F62))</f>
        <v>0</v>
      </c>
      <c r="H62">
        <f>IF(B62="","",TEXT(B62,"mmm"))</f>
        <v>0</v>
      </c>
      <c r="I62">
        <f>IF(B62="","",YEAR(B62))</f>
        <v>0</v>
      </c>
      <c r="K62">
        <f>IF(B62="","",YEAR(B62)+IF(MONTH(B62)&gt;=10,1,0))</f>
        <v>0</v>
      </c>
    </row>
    <row r="63">
      <c r="A63">
        <v>59</v>
      </c>
      <c r="G63" s="5">
        <f>IF(B63="","",SUM(D63:F63))</f>
        <v>0</v>
      </c>
      <c r="H63">
        <f>IF(B63="","",TEXT(B63,"mmm"))</f>
        <v>0</v>
      </c>
      <c r="I63">
        <f>IF(B63="","",YEAR(B63))</f>
        <v>0</v>
      </c>
      <c r="K63">
        <f>IF(B63="","",YEAR(B63)+IF(MONTH(B63)&gt;=10,1,0))</f>
        <v>0</v>
      </c>
    </row>
    <row r="64">
      <c r="A64">
        <v>60</v>
      </c>
      <c r="G64" s="5">
        <f>IF(B64="","",SUM(D64:F64))</f>
        <v>0</v>
      </c>
      <c r="H64">
        <f>IF(B64="","",TEXT(B64,"mmm"))</f>
        <v>0</v>
      </c>
      <c r="I64">
        <f>IF(B64="","",YEAR(B64))</f>
        <v>0</v>
      </c>
      <c r="K64">
        <f>IF(B64="","",YEAR(B64)+IF(MONTH(B64)&gt;=10,1,0))</f>
        <v>0</v>
      </c>
    </row>
    <row r="65">
      <c r="A65">
        <v>61</v>
      </c>
      <c r="G65" s="5">
        <f>IF(B65="","",SUM(D65:F65))</f>
        <v>0</v>
      </c>
      <c r="H65">
        <f>IF(B65="","",TEXT(B65,"mmm"))</f>
        <v>0</v>
      </c>
      <c r="I65">
        <f>IF(B65="","",YEAR(B65))</f>
        <v>0</v>
      </c>
      <c r="K65">
        <f>IF(B65="","",YEAR(B65)+IF(MONTH(B65)&gt;=10,1,0))</f>
        <v>0</v>
      </c>
    </row>
    <row r="66">
      <c r="A66">
        <v>62</v>
      </c>
      <c r="G66" s="5">
        <f>IF(B66="","",SUM(D66:F66))</f>
        <v>0</v>
      </c>
      <c r="H66">
        <f>IF(B66="","",TEXT(B66,"mmm"))</f>
        <v>0</v>
      </c>
      <c r="I66">
        <f>IF(B66="","",YEAR(B66))</f>
        <v>0</v>
      </c>
      <c r="K66">
        <f>IF(B66="","",YEAR(B66)+IF(MONTH(B66)&gt;=10,1,0))</f>
        <v>0</v>
      </c>
    </row>
    <row r="67">
      <c r="A67">
        <v>63</v>
      </c>
      <c r="G67" s="5">
        <f>IF(B67="","",SUM(D67:F67))</f>
        <v>0</v>
      </c>
      <c r="H67">
        <f>IF(B67="","",TEXT(B67,"mmm"))</f>
        <v>0</v>
      </c>
      <c r="I67">
        <f>IF(B67="","",YEAR(B67))</f>
        <v>0</v>
      </c>
      <c r="K67">
        <f>IF(B67="","",YEAR(B67)+IF(MONTH(B67)&gt;=10,1,0))</f>
        <v>0</v>
      </c>
    </row>
    <row r="68">
      <c r="A68">
        <v>64</v>
      </c>
      <c r="G68" s="5">
        <f>IF(B68="","",SUM(D68:F68))</f>
        <v>0</v>
      </c>
      <c r="H68">
        <f>IF(B68="","",TEXT(B68,"mmm"))</f>
        <v>0</v>
      </c>
      <c r="I68">
        <f>IF(B68="","",YEAR(B68))</f>
        <v>0</v>
      </c>
      <c r="K68">
        <f>IF(B68="","",YEAR(B68)+IF(MONTH(B68)&gt;=10,1,0))</f>
        <v>0</v>
      </c>
    </row>
    <row r="69">
      <c r="A69">
        <v>65</v>
      </c>
      <c r="G69" s="5">
        <f>IF(B69="","",SUM(D69:F69))</f>
        <v>0</v>
      </c>
      <c r="H69">
        <f>IF(B69="","",TEXT(B69,"mmm"))</f>
        <v>0</v>
      </c>
      <c r="I69">
        <f>IF(B69="","",YEAR(B69))</f>
        <v>0</v>
      </c>
      <c r="K69">
        <f>IF(B69="","",YEAR(B69)+IF(MONTH(B69)&gt;=10,1,0))</f>
        <v>0</v>
      </c>
    </row>
    <row r="70">
      <c r="A70">
        <v>66</v>
      </c>
      <c r="G70" s="5">
        <f>IF(B70="","",SUM(D70:F70))</f>
        <v>0</v>
      </c>
      <c r="H70">
        <f>IF(B70="","",TEXT(B70,"mmm"))</f>
        <v>0</v>
      </c>
      <c r="I70">
        <f>IF(B70="","",YEAR(B70))</f>
        <v>0</v>
      </c>
      <c r="K70">
        <f>IF(B70="","",YEAR(B70)+IF(MONTH(B70)&gt;=10,1,0))</f>
        <v>0</v>
      </c>
    </row>
    <row r="71">
      <c r="A71">
        <v>67</v>
      </c>
      <c r="G71" s="5">
        <f>IF(B71="","",SUM(D71:F71))</f>
        <v>0</v>
      </c>
      <c r="H71">
        <f>IF(B71="","",TEXT(B71,"mmm"))</f>
        <v>0</v>
      </c>
      <c r="I71">
        <f>IF(B71="","",YEAR(B71))</f>
        <v>0</v>
      </c>
      <c r="K71">
        <f>IF(B71="","",YEAR(B71)+IF(MONTH(B71)&gt;=10,1,0))</f>
        <v>0</v>
      </c>
    </row>
    <row r="72">
      <c r="A72">
        <v>68</v>
      </c>
      <c r="G72" s="5">
        <f>IF(B72="","",SUM(D72:F72))</f>
        <v>0</v>
      </c>
      <c r="H72">
        <f>IF(B72="","",TEXT(B72,"mmm"))</f>
        <v>0</v>
      </c>
      <c r="I72">
        <f>IF(B72="","",YEAR(B72))</f>
        <v>0</v>
      </c>
      <c r="K72">
        <f>IF(B72="","",YEAR(B72)+IF(MONTH(B72)&gt;=10,1,0))</f>
        <v>0</v>
      </c>
    </row>
    <row r="73">
      <c r="A73">
        <v>69</v>
      </c>
      <c r="G73" s="5">
        <f>IF(B73="","",SUM(D73:F73))</f>
        <v>0</v>
      </c>
      <c r="H73">
        <f>IF(B73="","",TEXT(B73,"mmm"))</f>
        <v>0</v>
      </c>
      <c r="I73">
        <f>IF(B73="","",YEAR(B73))</f>
        <v>0</v>
      </c>
      <c r="K73">
        <f>IF(B73="","",YEAR(B73)+IF(MONTH(B73)&gt;=10,1,0))</f>
        <v>0</v>
      </c>
    </row>
    <row r="74">
      <c r="A74">
        <v>70</v>
      </c>
      <c r="G74" s="5">
        <f>IF(B74="","",SUM(D74:F74))</f>
        <v>0</v>
      </c>
      <c r="H74">
        <f>IF(B74="","",TEXT(B74,"mmm"))</f>
        <v>0</v>
      </c>
      <c r="I74">
        <f>IF(B74="","",YEAR(B74))</f>
        <v>0</v>
      </c>
      <c r="K74">
        <f>IF(B74="","",YEAR(B74)+IF(MONTH(B74)&gt;=10,1,0))</f>
        <v>0</v>
      </c>
    </row>
    <row r="75">
      <c r="A75">
        <v>71</v>
      </c>
      <c r="G75" s="5">
        <f>IF(B75="","",SUM(D75:F75))</f>
        <v>0</v>
      </c>
      <c r="H75">
        <f>IF(B75="","",TEXT(B75,"mmm"))</f>
        <v>0</v>
      </c>
      <c r="I75">
        <f>IF(B75="","",YEAR(B75))</f>
        <v>0</v>
      </c>
      <c r="K75">
        <f>IF(B75="","",YEAR(B75)+IF(MONTH(B75)&gt;=10,1,0))</f>
        <v>0</v>
      </c>
    </row>
    <row r="76">
      <c r="A76">
        <v>72</v>
      </c>
      <c r="G76" s="5">
        <f>IF(B76="","",SUM(D76:F76))</f>
        <v>0</v>
      </c>
      <c r="H76">
        <f>IF(B76="","",TEXT(B76,"mmm"))</f>
        <v>0</v>
      </c>
      <c r="I76">
        <f>IF(B76="","",YEAR(B76))</f>
        <v>0</v>
      </c>
      <c r="K76">
        <f>IF(B76="","",YEAR(B76)+IF(MONTH(B76)&gt;=10,1,0))</f>
        <v>0</v>
      </c>
    </row>
    <row r="77">
      <c r="A77">
        <v>73</v>
      </c>
      <c r="G77" s="5">
        <f>IF(B77="","",SUM(D77:F77))</f>
        <v>0</v>
      </c>
      <c r="H77">
        <f>IF(B77="","",TEXT(B77,"mmm"))</f>
        <v>0</v>
      </c>
      <c r="I77">
        <f>IF(B77="","",YEAR(B77))</f>
        <v>0</v>
      </c>
      <c r="K77">
        <f>IF(B77="","",YEAR(B77)+IF(MONTH(B77)&gt;=10,1,0))</f>
        <v>0</v>
      </c>
    </row>
    <row r="78">
      <c r="A78">
        <v>74</v>
      </c>
      <c r="G78" s="5">
        <f>IF(B78="","",SUM(D78:F78))</f>
        <v>0</v>
      </c>
      <c r="H78">
        <f>IF(B78="","",TEXT(B78,"mmm"))</f>
        <v>0</v>
      </c>
      <c r="I78">
        <f>IF(B78="","",YEAR(B78))</f>
        <v>0</v>
      </c>
      <c r="K78">
        <f>IF(B78="","",YEAR(B78)+IF(MONTH(B78)&gt;=10,1,0))</f>
        <v>0</v>
      </c>
    </row>
    <row r="79">
      <c r="A79">
        <v>75</v>
      </c>
      <c r="G79" s="5">
        <f>IF(B79="","",SUM(D79:F79))</f>
        <v>0</v>
      </c>
      <c r="H79">
        <f>IF(B79="","",TEXT(B79,"mmm"))</f>
        <v>0</v>
      </c>
      <c r="I79">
        <f>IF(B79="","",YEAR(B79))</f>
        <v>0</v>
      </c>
      <c r="K79">
        <f>IF(B79="","",YEAR(B79)+IF(MONTH(B79)&gt;=10,1,0))</f>
        <v>0</v>
      </c>
    </row>
    <row r="80">
      <c r="A80">
        <v>76</v>
      </c>
      <c r="G80" s="5">
        <f>IF(B80="","",SUM(D80:F80))</f>
        <v>0</v>
      </c>
      <c r="H80">
        <f>IF(B80="","",TEXT(B80,"mmm"))</f>
        <v>0</v>
      </c>
      <c r="I80">
        <f>IF(B80="","",YEAR(B80))</f>
        <v>0</v>
      </c>
      <c r="K80">
        <f>IF(B80="","",YEAR(B80)+IF(MONTH(B80)&gt;=10,1,0))</f>
        <v>0</v>
      </c>
    </row>
    <row r="81">
      <c r="A81">
        <v>77</v>
      </c>
      <c r="G81" s="5">
        <f>IF(B81="","",SUM(D81:F81))</f>
        <v>0</v>
      </c>
      <c r="H81">
        <f>IF(B81="","",TEXT(B81,"mmm"))</f>
        <v>0</v>
      </c>
      <c r="I81">
        <f>IF(B81="","",YEAR(B81))</f>
        <v>0</v>
      </c>
      <c r="K81">
        <f>IF(B81="","",YEAR(B81)+IF(MONTH(B81)&gt;=10,1,0))</f>
        <v>0</v>
      </c>
    </row>
    <row r="82">
      <c r="A82">
        <v>78</v>
      </c>
      <c r="G82" s="5">
        <f>IF(B82="","",SUM(D82:F82))</f>
        <v>0</v>
      </c>
      <c r="H82">
        <f>IF(B82="","",TEXT(B82,"mmm"))</f>
        <v>0</v>
      </c>
      <c r="I82">
        <f>IF(B82="","",YEAR(B82))</f>
        <v>0</v>
      </c>
      <c r="K82">
        <f>IF(B82="","",YEAR(B82)+IF(MONTH(B82)&gt;=10,1,0))</f>
        <v>0</v>
      </c>
    </row>
    <row r="83">
      <c r="A83">
        <v>79</v>
      </c>
      <c r="G83" s="5">
        <f>IF(B83="","",SUM(D83:F83))</f>
        <v>0</v>
      </c>
      <c r="H83">
        <f>IF(B83="","",TEXT(B83,"mmm"))</f>
        <v>0</v>
      </c>
      <c r="I83">
        <f>IF(B83="","",YEAR(B83))</f>
        <v>0</v>
      </c>
      <c r="K83">
        <f>IF(B83="","",YEAR(B83)+IF(MONTH(B83)&gt;=10,1,0))</f>
        <v>0</v>
      </c>
    </row>
    <row r="84">
      <c r="A84">
        <v>80</v>
      </c>
      <c r="G84" s="5">
        <f>IF(B84="","",SUM(D84:F84))</f>
        <v>0</v>
      </c>
      <c r="H84">
        <f>IF(B84="","",TEXT(B84,"mmm"))</f>
        <v>0</v>
      </c>
      <c r="I84">
        <f>IF(B84="","",YEAR(B84))</f>
        <v>0</v>
      </c>
      <c r="K84">
        <f>IF(B84="","",YEAR(B84)+IF(MONTH(B84)&gt;=10,1,0))</f>
        <v>0</v>
      </c>
    </row>
    <row r="85">
      <c r="A85">
        <v>81</v>
      </c>
      <c r="G85" s="5">
        <f>IF(B85="","",SUM(D85:F85))</f>
        <v>0</v>
      </c>
      <c r="H85">
        <f>IF(B85="","",TEXT(B85,"mmm"))</f>
        <v>0</v>
      </c>
      <c r="I85">
        <f>IF(B85="","",YEAR(B85))</f>
        <v>0</v>
      </c>
      <c r="K85">
        <f>IF(B85="","",YEAR(B85)+IF(MONTH(B85)&gt;=10,1,0))</f>
        <v>0</v>
      </c>
    </row>
    <row r="86">
      <c r="A86">
        <v>82</v>
      </c>
      <c r="G86" s="5">
        <f>IF(B86="","",SUM(D86:F86))</f>
        <v>0</v>
      </c>
      <c r="H86">
        <f>IF(B86="","",TEXT(B86,"mmm"))</f>
        <v>0</v>
      </c>
      <c r="I86">
        <f>IF(B86="","",YEAR(B86))</f>
        <v>0</v>
      </c>
      <c r="K86">
        <f>IF(B86="","",YEAR(B86)+IF(MONTH(B86)&gt;=10,1,0))</f>
        <v>0</v>
      </c>
    </row>
    <row r="87">
      <c r="A87">
        <v>83</v>
      </c>
      <c r="G87" s="5">
        <f>IF(B87="","",SUM(D87:F87))</f>
        <v>0</v>
      </c>
      <c r="H87">
        <f>IF(B87="","",TEXT(B87,"mmm"))</f>
        <v>0</v>
      </c>
      <c r="I87">
        <f>IF(B87="","",YEAR(B87))</f>
        <v>0</v>
      </c>
      <c r="K87">
        <f>IF(B87="","",YEAR(B87)+IF(MONTH(B87)&gt;=10,1,0))</f>
        <v>0</v>
      </c>
    </row>
    <row r="88">
      <c r="A88">
        <v>84</v>
      </c>
      <c r="G88" s="5">
        <f>IF(B88="","",SUM(D88:F88))</f>
        <v>0</v>
      </c>
      <c r="H88">
        <f>IF(B88="","",TEXT(B88,"mmm"))</f>
        <v>0</v>
      </c>
      <c r="I88">
        <f>IF(B88="","",YEAR(B88))</f>
        <v>0</v>
      </c>
      <c r="K88">
        <f>IF(B88="","",YEAR(B88)+IF(MONTH(B88)&gt;=10,1,0))</f>
        <v>0</v>
      </c>
    </row>
    <row r="89">
      <c r="A89">
        <v>85</v>
      </c>
      <c r="G89" s="5">
        <f>IF(B89="","",SUM(D89:F89))</f>
        <v>0</v>
      </c>
      <c r="H89">
        <f>IF(B89="","",TEXT(B89,"mmm"))</f>
        <v>0</v>
      </c>
      <c r="I89">
        <f>IF(B89="","",YEAR(B89))</f>
        <v>0</v>
      </c>
      <c r="K89">
        <f>IF(B89="","",YEAR(B89)+IF(MONTH(B89)&gt;=10,1,0))</f>
        <v>0</v>
      </c>
    </row>
    <row r="90">
      <c r="A90">
        <v>86</v>
      </c>
      <c r="G90" s="5">
        <f>IF(B90="","",SUM(D90:F90))</f>
        <v>0</v>
      </c>
      <c r="H90">
        <f>IF(B90="","",TEXT(B90,"mmm"))</f>
        <v>0</v>
      </c>
      <c r="I90">
        <f>IF(B90="","",YEAR(B90))</f>
        <v>0</v>
      </c>
      <c r="K90">
        <f>IF(B90="","",YEAR(B90)+IF(MONTH(B90)&gt;=10,1,0))</f>
        <v>0</v>
      </c>
    </row>
    <row r="91">
      <c r="A91">
        <v>87</v>
      </c>
      <c r="G91" s="5">
        <f>IF(B91="","",SUM(D91:F91))</f>
        <v>0</v>
      </c>
      <c r="H91">
        <f>IF(B91="","",TEXT(B91,"mmm"))</f>
        <v>0</v>
      </c>
      <c r="I91">
        <f>IF(B91="","",YEAR(B91))</f>
        <v>0</v>
      </c>
      <c r="K91">
        <f>IF(B91="","",YEAR(B91)+IF(MONTH(B91)&gt;=10,1,0))</f>
        <v>0</v>
      </c>
    </row>
    <row r="92">
      <c r="A92">
        <v>88</v>
      </c>
      <c r="G92" s="5">
        <f>IF(B92="","",SUM(D92:F92))</f>
        <v>0</v>
      </c>
      <c r="H92">
        <f>IF(B92="","",TEXT(B92,"mmm"))</f>
        <v>0</v>
      </c>
      <c r="I92">
        <f>IF(B92="","",YEAR(B92))</f>
        <v>0</v>
      </c>
      <c r="K92">
        <f>IF(B92="","",YEAR(B92)+IF(MONTH(B92)&gt;=10,1,0))</f>
        <v>0</v>
      </c>
    </row>
    <row r="93">
      <c r="A93">
        <v>89</v>
      </c>
      <c r="G93" s="5">
        <f>IF(B93="","",SUM(D93:F93))</f>
        <v>0</v>
      </c>
      <c r="H93">
        <f>IF(B93="","",TEXT(B93,"mmm"))</f>
        <v>0</v>
      </c>
      <c r="I93">
        <f>IF(B93="","",YEAR(B93))</f>
        <v>0</v>
      </c>
      <c r="K93">
        <f>IF(B93="","",YEAR(B93)+IF(MONTH(B93)&gt;=10,1,0))</f>
        <v>0</v>
      </c>
    </row>
    <row r="94">
      <c r="A94">
        <v>90</v>
      </c>
      <c r="G94" s="5">
        <f>IF(B94="","",SUM(D94:F94))</f>
        <v>0</v>
      </c>
      <c r="H94">
        <f>IF(B94="","",TEXT(B94,"mmm"))</f>
        <v>0</v>
      </c>
      <c r="I94">
        <f>IF(B94="","",YEAR(B94))</f>
        <v>0</v>
      </c>
      <c r="K94">
        <f>IF(B94="","",YEAR(B94)+IF(MONTH(B94)&gt;=10,1,0))</f>
        <v>0</v>
      </c>
    </row>
    <row r="95">
      <c r="A95">
        <v>91</v>
      </c>
      <c r="G95" s="5">
        <f>IF(B95="","",SUM(D95:F95))</f>
        <v>0</v>
      </c>
      <c r="H95">
        <f>IF(B95="","",TEXT(B95,"mmm"))</f>
        <v>0</v>
      </c>
      <c r="I95">
        <f>IF(B95="","",YEAR(B95))</f>
        <v>0</v>
      </c>
      <c r="K95">
        <f>IF(B95="","",YEAR(B95)+IF(MONTH(B95)&gt;=10,1,0))</f>
        <v>0</v>
      </c>
    </row>
    <row r="96">
      <c r="A96">
        <v>92</v>
      </c>
      <c r="G96" s="5">
        <f>IF(B96="","",SUM(D96:F96))</f>
        <v>0</v>
      </c>
      <c r="H96">
        <f>IF(B96="","",TEXT(B96,"mmm"))</f>
        <v>0</v>
      </c>
      <c r="I96">
        <f>IF(B96="","",YEAR(B96))</f>
        <v>0</v>
      </c>
      <c r="K96">
        <f>IF(B96="","",YEAR(B96)+IF(MONTH(B96)&gt;=10,1,0))</f>
        <v>0</v>
      </c>
    </row>
    <row r="97">
      <c r="A97">
        <v>93</v>
      </c>
      <c r="G97" s="5">
        <f>IF(B97="","",SUM(D97:F97))</f>
        <v>0</v>
      </c>
      <c r="H97">
        <f>IF(B97="","",TEXT(B97,"mmm"))</f>
        <v>0</v>
      </c>
      <c r="I97">
        <f>IF(B97="","",YEAR(B97))</f>
        <v>0</v>
      </c>
      <c r="K97">
        <f>IF(B97="","",YEAR(B97)+IF(MONTH(B97)&gt;=10,1,0))</f>
        <v>0</v>
      </c>
    </row>
    <row r="98">
      <c r="A98">
        <v>94</v>
      </c>
      <c r="G98" s="5">
        <f>IF(B98="","",SUM(D98:F98))</f>
        <v>0</v>
      </c>
      <c r="H98">
        <f>IF(B98="","",TEXT(B98,"mmm"))</f>
        <v>0</v>
      </c>
      <c r="I98">
        <f>IF(B98="","",YEAR(B98))</f>
        <v>0</v>
      </c>
      <c r="K98">
        <f>IF(B98="","",YEAR(B98)+IF(MONTH(B98)&gt;=10,1,0))</f>
        <v>0</v>
      </c>
    </row>
    <row r="99">
      <c r="A99">
        <v>95</v>
      </c>
      <c r="G99" s="5">
        <f>IF(B99="","",SUM(D99:F99))</f>
        <v>0</v>
      </c>
      <c r="H99">
        <f>IF(B99="","",TEXT(B99,"mmm"))</f>
        <v>0</v>
      </c>
      <c r="I99">
        <f>IF(B99="","",YEAR(B99))</f>
        <v>0</v>
      </c>
      <c r="K99">
        <f>IF(B99="","",YEAR(B99)+IF(MONTH(B99)&gt;=10,1,0))</f>
        <v>0</v>
      </c>
    </row>
    <row r="100">
      <c r="A100">
        <v>96</v>
      </c>
      <c r="G100" s="5">
        <f>IF(B100="","",SUM(D100:F100))</f>
        <v>0</v>
      </c>
      <c r="H100">
        <f>IF(B100="","",TEXT(B100,"mmm"))</f>
        <v>0</v>
      </c>
      <c r="I100">
        <f>IF(B100="","",YEAR(B100))</f>
        <v>0</v>
      </c>
      <c r="K100">
        <f>IF(B100="","",YEAR(B100)+IF(MONTH(B100)&gt;=10,1,0))</f>
        <v>0</v>
      </c>
    </row>
    <row r="101">
      <c r="A101">
        <v>97</v>
      </c>
      <c r="G101" s="5">
        <f>IF(B101="","",SUM(D101:F101))</f>
        <v>0</v>
      </c>
      <c r="H101">
        <f>IF(B101="","",TEXT(B101,"mmm"))</f>
        <v>0</v>
      </c>
      <c r="I101">
        <f>IF(B101="","",YEAR(B101))</f>
        <v>0</v>
      </c>
      <c r="K101">
        <f>IF(B101="","",YEAR(B101)+IF(MONTH(B101)&gt;=10,1,0))</f>
        <v>0</v>
      </c>
    </row>
    <row r="102">
      <c r="A102">
        <v>98</v>
      </c>
      <c r="G102" s="5">
        <f>IF(B102="","",SUM(D102:F102))</f>
        <v>0</v>
      </c>
      <c r="H102">
        <f>IF(B102="","",TEXT(B102,"mmm"))</f>
        <v>0</v>
      </c>
      <c r="I102">
        <f>IF(B102="","",YEAR(B102))</f>
        <v>0</v>
      </c>
      <c r="K102">
        <f>IF(B102="","",YEAR(B102)+IF(MONTH(B102)&gt;=10,1,0))</f>
        <v>0</v>
      </c>
    </row>
    <row r="103">
      <c r="A103">
        <v>99</v>
      </c>
      <c r="G103" s="5">
        <f>IF(B103="","",SUM(D103:F103))</f>
        <v>0</v>
      </c>
      <c r="H103">
        <f>IF(B103="","",TEXT(B103,"mmm"))</f>
        <v>0</v>
      </c>
      <c r="I103">
        <f>IF(B103="","",YEAR(B103))</f>
        <v>0</v>
      </c>
      <c r="K103">
        <f>IF(B103="","",YEAR(B103)+IF(MONTH(B103)&gt;=10,1,0))</f>
        <v>0</v>
      </c>
    </row>
    <row r="104">
      <c r="A104">
        <v>100</v>
      </c>
      <c r="G104" s="5">
        <f>IF(B104="","",SUM(D104:F104))</f>
        <v>0</v>
      </c>
      <c r="H104">
        <f>IF(B104="","",TEXT(B104,"mmm"))</f>
        <v>0</v>
      </c>
      <c r="I104">
        <f>IF(B104="","",YEAR(B104))</f>
        <v>0</v>
      </c>
      <c r="K104">
        <f>IF(B104="","",YEAR(B104)+IF(MONTH(B104)&gt;=10,1,0))</f>
        <v>0</v>
      </c>
    </row>
    <row r="105">
      <c r="A105">
        <v>101</v>
      </c>
      <c r="G105" s="5">
        <f>IF(B105="","",SUM(D105:F105))</f>
        <v>0</v>
      </c>
      <c r="H105">
        <f>IF(B105="","",TEXT(B105,"mmm"))</f>
        <v>0</v>
      </c>
      <c r="I105">
        <f>IF(B105="","",YEAR(B105))</f>
        <v>0</v>
      </c>
      <c r="K105">
        <f>IF(B105="","",YEAR(B105)+IF(MONTH(B105)&gt;=10,1,0))</f>
        <v>0</v>
      </c>
    </row>
    <row r="106">
      <c r="A106">
        <v>102</v>
      </c>
      <c r="G106" s="5">
        <f>IF(B106="","",SUM(D106:F106))</f>
        <v>0</v>
      </c>
      <c r="H106">
        <f>IF(B106="","",TEXT(B106,"mmm"))</f>
        <v>0</v>
      </c>
      <c r="I106">
        <f>IF(B106="","",YEAR(B106))</f>
        <v>0</v>
      </c>
      <c r="K106">
        <f>IF(B106="","",YEAR(B106)+IF(MONTH(B106)&gt;=10,1,0))</f>
        <v>0</v>
      </c>
    </row>
    <row r="107">
      <c r="A107">
        <v>103</v>
      </c>
      <c r="G107" s="5">
        <f>IF(B107="","",SUM(D107:F107))</f>
        <v>0</v>
      </c>
      <c r="H107">
        <f>IF(B107="","",TEXT(B107,"mmm"))</f>
        <v>0</v>
      </c>
      <c r="I107">
        <f>IF(B107="","",YEAR(B107))</f>
        <v>0</v>
      </c>
      <c r="K107">
        <f>IF(B107="","",YEAR(B107)+IF(MONTH(B107)&gt;=10,1,0))</f>
        <v>0</v>
      </c>
    </row>
    <row r="108">
      <c r="A108">
        <v>104</v>
      </c>
      <c r="G108" s="5">
        <f>IF(B108="","",SUM(D108:F108))</f>
        <v>0</v>
      </c>
      <c r="H108">
        <f>IF(B108="","",TEXT(B108,"mmm"))</f>
        <v>0</v>
      </c>
      <c r="I108">
        <f>IF(B108="","",YEAR(B108))</f>
        <v>0</v>
      </c>
      <c r="K108">
        <f>IF(B108="","",YEAR(B108)+IF(MONTH(B108)&gt;=10,1,0))</f>
        <v>0</v>
      </c>
    </row>
    <row r="109">
      <c r="A109">
        <v>105</v>
      </c>
      <c r="G109" s="5">
        <f>IF(B109="","",SUM(D109:F109))</f>
        <v>0</v>
      </c>
      <c r="H109">
        <f>IF(B109="","",TEXT(B109,"mmm"))</f>
        <v>0</v>
      </c>
      <c r="I109">
        <f>IF(B109="","",YEAR(B109))</f>
        <v>0</v>
      </c>
      <c r="K109">
        <f>IF(B109="","",YEAR(B109)+IF(MONTH(B109)&gt;=10,1,0))</f>
        <v>0</v>
      </c>
    </row>
    <row r="110">
      <c r="A110">
        <v>106</v>
      </c>
      <c r="G110" s="5">
        <f>IF(B110="","",SUM(D110:F110))</f>
        <v>0</v>
      </c>
      <c r="H110">
        <f>IF(B110="","",TEXT(B110,"mmm"))</f>
        <v>0</v>
      </c>
      <c r="I110">
        <f>IF(B110="","",YEAR(B110))</f>
        <v>0</v>
      </c>
      <c r="K110">
        <f>IF(B110="","",YEAR(B110)+IF(MONTH(B110)&gt;=10,1,0))</f>
        <v>0</v>
      </c>
    </row>
    <row r="111">
      <c r="A111">
        <v>107</v>
      </c>
      <c r="G111" s="5">
        <f>IF(B111="","",SUM(D111:F111))</f>
        <v>0</v>
      </c>
      <c r="H111">
        <f>IF(B111="","",TEXT(B111,"mmm"))</f>
        <v>0</v>
      </c>
      <c r="I111">
        <f>IF(B111="","",YEAR(B111))</f>
        <v>0</v>
      </c>
      <c r="K111">
        <f>IF(B111="","",YEAR(B111)+IF(MONTH(B111)&gt;=10,1,0))</f>
        <v>0</v>
      </c>
    </row>
    <row r="112">
      <c r="A112">
        <v>108</v>
      </c>
      <c r="G112" s="5">
        <f>IF(B112="","",SUM(D112:F112))</f>
        <v>0</v>
      </c>
      <c r="H112">
        <f>IF(B112="","",TEXT(B112,"mmm"))</f>
        <v>0</v>
      </c>
      <c r="I112">
        <f>IF(B112="","",YEAR(B112))</f>
        <v>0</v>
      </c>
      <c r="K112">
        <f>IF(B112="","",YEAR(B112)+IF(MONTH(B112)&gt;=10,1,0))</f>
        <v>0</v>
      </c>
    </row>
    <row r="113">
      <c r="A113">
        <v>109</v>
      </c>
      <c r="G113" s="5">
        <f>IF(B113="","",SUM(D113:F113))</f>
        <v>0</v>
      </c>
      <c r="H113">
        <f>IF(B113="","",TEXT(B113,"mmm"))</f>
        <v>0</v>
      </c>
      <c r="I113">
        <f>IF(B113="","",YEAR(B113))</f>
        <v>0</v>
      </c>
      <c r="K113">
        <f>IF(B113="","",YEAR(B113)+IF(MONTH(B113)&gt;=10,1,0))</f>
        <v>0</v>
      </c>
    </row>
    <row r="114">
      <c r="A114">
        <v>110</v>
      </c>
      <c r="G114" s="5">
        <f>IF(B114="","",SUM(D114:F114))</f>
        <v>0</v>
      </c>
      <c r="H114">
        <f>IF(B114="","",TEXT(B114,"mmm"))</f>
        <v>0</v>
      </c>
      <c r="I114">
        <f>IF(B114="","",YEAR(B114))</f>
        <v>0</v>
      </c>
      <c r="K114">
        <f>IF(B114="","",YEAR(B114)+IF(MONTH(B114)&gt;=10,1,0))</f>
        <v>0</v>
      </c>
    </row>
    <row r="115">
      <c r="A115">
        <v>111</v>
      </c>
      <c r="G115" s="5">
        <f>IF(B115="","",SUM(D115:F115))</f>
        <v>0</v>
      </c>
      <c r="H115">
        <f>IF(B115="","",TEXT(B115,"mmm"))</f>
        <v>0</v>
      </c>
      <c r="I115">
        <f>IF(B115="","",YEAR(B115))</f>
        <v>0</v>
      </c>
      <c r="K115">
        <f>IF(B115="","",YEAR(B115)+IF(MONTH(B115)&gt;=10,1,0))</f>
        <v>0</v>
      </c>
    </row>
    <row r="116">
      <c r="A116">
        <v>112</v>
      </c>
      <c r="G116" s="5">
        <f>IF(B116="","",SUM(D116:F116))</f>
        <v>0</v>
      </c>
      <c r="H116">
        <f>IF(B116="","",TEXT(B116,"mmm"))</f>
        <v>0</v>
      </c>
      <c r="I116">
        <f>IF(B116="","",YEAR(B116))</f>
        <v>0</v>
      </c>
      <c r="K116">
        <f>IF(B116="","",YEAR(B116)+IF(MONTH(B116)&gt;=10,1,0))</f>
        <v>0</v>
      </c>
    </row>
    <row r="117">
      <c r="A117">
        <v>113</v>
      </c>
      <c r="G117" s="5">
        <f>IF(B117="","",SUM(D117:F117))</f>
        <v>0</v>
      </c>
      <c r="H117">
        <f>IF(B117="","",TEXT(B117,"mmm"))</f>
        <v>0</v>
      </c>
      <c r="I117">
        <f>IF(B117="","",YEAR(B117))</f>
        <v>0</v>
      </c>
      <c r="K117">
        <f>IF(B117="","",YEAR(B117)+IF(MONTH(B117)&gt;=10,1,0))</f>
        <v>0</v>
      </c>
    </row>
    <row r="118">
      <c r="A118">
        <v>114</v>
      </c>
      <c r="G118" s="5">
        <f>IF(B118="","",SUM(D118:F118))</f>
        <v>0</v>
      </c>
      <c r="H118">
        <f>IF(B118="","",TEXT(B118,"mmm"))</f>
        <v>0</v>
      </c>
      <c r="I118">
        <f>IF(B118="","",YEAR(B118))</f>
        <v>0</v>
      </c>
      <c r="K118">
        <f>IF(B118="","",YEAR(B118)+IF(MONTH(B118)&gt;=10,1,0))</f>
        <v>0</v>
      </c>
    </row>
    <row r="119">
      <c r="A119">
        <v>115</v>
      </c>
      <c r="G119" s="5">
        <f>IF(B119="","",SUM(D119:F119))</f>
        <v>0</v>
      </c>
      <c r="H119">
        <f>IF(B119="","",TEXT(B119,"mmm"))</f>
        <v>0</v>
      </c>
      <c r="I119">
        <f>IF(B119="","",YEAR(B119))</f>
        <v>0</v>
      </c>
      <c r="K119">
        <f>IF(B119="","",YEAR(B119)+IF(MONTH(B119)&gt;=10,1,0))</f>
        <v>0</v>
      </c>
    </row>
    <row r="120">
      <c r="A120">
        <v>116</v>
      </c>
      <c r="G120" s="5">
        <f>IF(B120="","",SUM(D120:F120))</f>
        <v>0</v>
      </c>
      <c r="H120">
        <f>IF(B120="","",TEXT(B120,"mmm"))</f>
        <v>0</v>
      </c>
      <c r="I120">
        <f>IF(B120="","",YEAR(B120))</f>
        <v>0</v>
      </c>
      <c r="K120">
        <f>IF(B120="","",YEAR(B120)+IF(MONTH(B120)&gt;=10,1,0))</f>
        <v>0</v>
      </c>
    </row>
    <row r="121">
      <c r="A121">
        <v>117</v>
      </c>
      <c r="G121" s="5">
        <f>IF(B121="","",SUM(D121:F121))</f>
        <v>0</v>
      </c>
      <c r="H121">
        <f>IF(B121="","",TEXT(B121,"mmm"))</f>
        <v>0</v>
      </c>
      <c r="I121">
        <f>IF(B121="","",YEAR(B121))</f>
        <v>0</v>
      </c>
      <c r="K121">
        <f>IF(B121="","",YEAR(B121)+IF(MONTH(B121)&gt;=10,1,0))</f>
        <v>0</v>
      </c>
    </row>
    <row r="122">
      <c r="A122">
        <v>118</v>
      </c>
      <c r="G122" s="5">
        <f>IF(B122="","",SUM(D122:F122))</f>
        <v>0</v>
      </c>
      <c r="H122">
        <f>IF(B122="","",TEXT(B122,"mmm"))</f>
        <v>0</v>
      </c>
      <c r="I122">
        <f>IF(B122="","",YEAR(B122))</f>
        <v>0</v>
      </c>
      <c r="K122">
        <f>IF(B122="","",YEAR(B122)+IF(MONTH(B122)&gt;=10,1,0))</f>
        <v>0</v>
      </c>
    </row>
    <row r="123">
      <c r="A123">
        <v>119</v>
      </c>
      <c r="G123" s="5">
        <f>IF(B123="","",SUM(D123:F123))</f>
        <v>0</v>
      </c>
      <c r="H123">
        <f>IF(B123="","",TEXT(B123,"mmm"))</f>
        <v>0</v>
      </c>
      <c r="I123">
        <f>IF(B123="","",YEAR(B123))</f>
        <v>0</v>
      </c>
      <c r="K123">
        <f>IF(B123="","",YEAR(B123)+IF(MONTH(B123)&gt;=10,1,0))</f>
        <v>0</v>
      </c>
    </row>
    <row r="124">
      <c r="A124">
        <v>120</v>
      </c>
      <c r="G124" s="5">
        <f>IF(B124="","",SUM(D124:F124))</f>
        <v>0</v>
      </c>
      <c r="H124">
        <f>IF(B124="","",TEXT(B124,"mmm"))</f>
        <v>0</v>
      </c>
      <c r="I124">
        <f>IF(B124="","",YEAR(B124))</f>
        <v>0</v>
      </c>
      <c r="K124">
        <f>IF(B124="","",YEAR(B124)+IF(MONTH(B124)&gt;=10,1,0))</f>
        <v>0</v>
      </c>
    </row>
    <row r="125">
      <c r="A125">
        <v>121</v>
      </c>
      <c r="G125" s="5">
        <f>IF(B125="","",SUM(D125:F125))</f>
        <v>0</v>
      </c>
      <c r="H125">
        <f>IF(B125="","",TEXT(B125,"mmm"))</f>
        <v>0</v>
      </c>
      <c r="I125">
        <f>IF(B125="","",YEAR(B125))</f>
        <v>0</v>
      </c>
      <c r="K125">
        <f>IF(B125="","",YEAR(B125)+IF(MONTH(B125)&gt;=10,1,0))</f>
        <v>0</v>
      </c>
    </row>
    <row r="126">
      <c r="A126">
        <v>122</v>
      </c>
      <c r="G126" s="5">
        <f>IF(B126="","",SUM(D126:F126))</f>
        <v>0</v>
      </c>
      <c r="H126">
        <f>IF(B126="","",TEXT(B126,"mmm"))</f>
        <v>0</v>
      </c>
      <c r="I126">
        <f>IF(B126="","",YEAR(B126))</f>
        <v>0</v>
      </c>
      <c r="K126">
        <f>IF(B126="","",YEAR(B126)+IF(MONTH(B126)&gt;=10,1,0))</f>
        <v>0</v>
      </c>
    </row>
    <row r="127">
      <c r="A127">
        <v>123</v>
      </c>
      <c r="G127" s="5">
        <f>IF(B127="","",SUM(D127:F127))</f>
        <v>0</v>
      </c>
      <c r="H127">
        <f>IF(B127="","",TEXT(B127,"mmm"))</f>
        <v>0</v>
      </c>
      <c r="I127">
        <f>IF(B127="","",YEAR(B127))</f>
        <v>0</v>
      </c>
      <c r="K127">
        <f>IF(B127="","",YEAR(B127)+IF(MONTH(B127)&gt;=10,1,0))</f>
        <v>0</v>
      </c>
    </row>
    <row r="128">
      <c r="A128">
        <v>124</v>
      </c>
      <c r="G128" s="5">
        <f>IF(B128="","",SUM(D128:F128))</f>
        <v>0</v>
      </c>
      <c r="H128">
        <f>IF(B128="","",TEXT(B128,"mmm"))</f>
        <v>0</v>
      </c>
      <c r="I128">
        <f>IF(B128="","",YEAR(B128))</f>
        <v>0</v>
      </c>
      <c r="K128">
        <f>IF(B128="","",YEAR(B128)+IF(MONTH(B128)&gt;=10,1,0))</f>
        <v>0</v>
      </c>
    </row>
    <row r="129">
      <c r="A129">
        <v>125</v>
      </c>
      <c r="G129" s="5">
        <f>IF(B129="","",SUM(D129:F129))</f>
        <v>0</v>
      </c>
      <c r="H129">
        <f>IF(B129="","",TEXT(B129,"mmm"))</f>
        <v>0</v>
      </c>
      <c r="I129">
        <f>IF(B129="","",YEAR(B129))</f>
        <v>0</v>
      </c>
      <c r="K129">
        <f>IF(B129="","",YEAR(B129)+IF(MONTH(B129)&gt;=10,1,0))</f>
        <v>0</v>
      </c>
    </row>
    <row r="130">
      <c r="A130">
        <v>126</v>
      </c>
      <c r="G130" s="5">
        <f>IF(B130="","",SUM(D130:F130))</f>
        <v>0</v>
      </c>
      <c r="H130">
        <f>IF(B130="","",TEXT(B130,"mmm"))</f>
        <v>0</v>
      </c>
      <c r="I130">
        <f>IF(B130="","",YEAR(B130))</f>
        <v>0</v>
      </c>
      <c r="K130">
        <f>IF(B130="","",YEAR(B130)+IF(MONTH(B130)&gt;=10,1,0))</f>
        <v>0</v>
      </c>
    </row>
    <row r="131">
      <c r="A131">
        <v>127</v>
      </c>
      <c r="G131" s="5">
        <f>IF(B131="","",SUM(D131:F131))</f>
        <v>0</v>
      </c>
      <c r="H131">
        <f>IF(B131="","",TEXT(B131,"mmm"))</f>
        <v>0</v>
      </c>
      <c r="I131">
        <f>IF(B131="","",YEAR(B131))</f>
        <v>0</v>
      </c>
      <c r="K131">
        <f>IF(B131="","",YEAR(B131)+IF(MONTH(B131)&gt;=10,1,0))</f>
        <v>0</v>
      </c>
    </row>
    <row r="132">
      <c r="A132">
        <v>128</v>
      </c>
      <c r="G132" s="5">
        <f>IF(B132="","",SUM(D132:F132))</f>
        <v>0</v>
      </c>
      <c r="H132">
        <f>IF(B132="","",TEXT(B132,"mmm"))</f>
        <v>0</v>
      </c>
      <c r="I132">
        <f>IF(B132="","",YEAR(B132))</f>
        <v>0</v>
      </c>
      <c r="K132">
        <f>IF(B132="","",YEAR(B132)+IF(MONTH(B132)&gt;=10,1,0))</f>
        <v>0</v>
      </c>
    </row>
    <row r="133">
      <c r="A133">
        <v>129</v>
      </c>
      <c r="G133" s="5">
        <f>IF(B133="","",SUM(D133:F133))</f>
        <v>0</v>
      </c>
      <c r="H133">
        <f>IF(B133="","",TEXT(B133,"mmm"))</f>
        <v>0</v>
      </c>
      <c r="I133">
        <f>IF(B133="","",YEAR(B133))</f>
        <v>0</v>
      </c>
      <c r="K133">
        <f>IF(B133="","",YEAR(B133)+IF(MONTH(B133)&gt;=10,1,0))</f>
        <v>0</v>
      </c>
    </row>
    <row r="134">
      <c r="A134">
        <v>130</v>
      </c>
      <c r="G134" s="5">
        <f>IF(B134="","",SUM(D134:F134))</f>
        <v>0</v>
      </c>
      <c r="H134">
        <f>IF(B134="","",TEXT(B134,"mmm"))</f>
        <v>0</v>
      </c>
      <c r="I134">
        <f>IF(B134="","",YEAR(B134))</f>
        <v>0</v>
      </c>
      <c r="K134">
        <f>IF(B134="","",YEAR(B134)+IF(MONTH(B134)&gt;=10,1,0))</f>
        <v>0</v>
      </c>
    </row>
    <row r="135">
      <c r="A135">
        <v>131</v>
      </c>
      <c r="G135" s="5">
        <f>IF(B135="","",SUM(D135:F135))</f>
        <v>0</v>
      </c>
      <c r="H135">
        <f>IF(B135="","",TEXT(B135,"mmm"))</f>
        <v>0</v>
      </c>
      <c r="I135">
        <f>IF(B135="","",YEAR(B135))</f>
        <v>0</v>
      </c>
      <c r="K135">
        <f>IF(B135="","",YEAR(B135)+IF(MONTH(B135)&gt;=10,1,0))</f>
        <v>0</v>
      </c>
    </row>
    <row r="136">
      <c r="A136">
        <v>132</v>
      </c>
      <c r="G136" s="5">
        <f>IF(B136="","",SUM(D136:F136))</f>
        <v>0</v>
      </c>
      <c r="H136">
        <f>IF(B136="","",TEXT(B136,"mmm"))</f>
        <v>0</v>
      </c>
      <c r="I136">
        <f>IF(B136="","",YEAR(B136))</f>
        <v>0</v>
      </c>
      <c r="K136">
        <f>IF(B136="","",YEAR(B136)+IF(MONTH(B136)&gt;=10,1,0))</f>
        <v>0</v>
      </c>
    </row>
    <row r="137">
      <c r="A137">
        <v>133</v>
      </c>
      <c r="G137" s="5">
        <f>IF(B137="","",SUM(D137:F137))</f>
        <v>0</v>
      </c>
      <c r="H137">
        <f>IF(B137="","",TEXT(B137,"mmm"))</f>
        <v>0</v>
      </c>
      <c r="I137">
        <f>IF(B137="","",YEAR(B137))</f>
        <v>0</v>
      </c>
      <c r="K137">
        <f>IF(B137="","",YEAR(B137)+IF(MONTH(B137)&gt;=10,1,0))</f>
        <v>0</v>
      </c>
    </row>
    <row r="138">
      <c r="A138">
        <v>134</v>
      </c>
      <c r="G138" s="5">
        <f>IF(B138="","",SUM(D138:F138))</f>
        <v>0</v>
      </c>
      <c r="H138">
        <f>IF(B138="","",TEXT(B138,"mmm"))</f>
        <v>0</v>
      </c>
      <c r="I138">
        <f>IF(B138="","",YEAR(B138))</f>
        <v>0</v>
      </c>
      <c r="K138">
        <f>IF(B138="","",YEAR(B138)+IF(MONTH(B138)&gt;=10,1,0))</f>
        <v>0</v>
      </c>
    </row>
    <row r="139">
      <c r="A139">
        <v>135</v>
      </c>
      <c r="G139" s="5">
        <f>IF(B139="","",SUM(D139:F139))</f>
        <v>0</v>
      </c>
      <c r="H139">
        <f>IF(B139="","",TEXT(B139,"mmm"))</f>
        <v>0</v>
      </c>
      <c r="I139">
        <f>IF(B139="","",YEAR(B139))</f>
        <v>0</v>
      </c>
      <c r="K139">
        <f>IF(B139="","",YEAR(B139)+IF(MONTH(B139)&gt;=10,1,0))</f>
        <v>0</v>
      </c>
    </row>
    <row r="140">
      <c r="A140">
        <v>136</v>
      </c>
      <c r="G140" s="5">
        <f>IF(B140="","",SUM(D140:F140))</f>
        <v>0</v>
      </c>
      <c r="H140">
        <f>IF(B140="","",TEXT(B140,"mmm"))</f>
        <v>0</v>
      </c>
      <c r="I140">
        <f>IF(B140="","",YEAR(B140))</f>
        <v>0</v>
      </c>
      <c r="K140">
        <f>IF(B140="","",YEAR(B140)+IF(MONTH(B140)&gt;=10,1,0))</f>
        <v>0</v>
      </c>
    </row>
    <row r="141">
      <c r="A141">
        <v>137</v>
      </c>
      <c r="G141" s="5">
        <f>IF(B141="","",SUM(D141:F141))</f>
        <v>0</v>
      </c>
      <c r="H141">
        <f>IF(B141="","",TEXT(B141,"mmm"))</f>
        <v>0</v>
      </c>
      <c r="I141">
        <f>IF(B141="","",YEAR(B141))</f>
        <v>0</v>
      </c>
      <c r="K141">
        <f>IF(B141="","",YEAR(B141)+IF(MONTH(B141)&gt;=10,1,0))</f>
        <v>0</v>
      </c>
    </row>
    <row r="142">
      <c r="A142">
        <v>138</v>
      </c>
      <c r="G142" s="5">
        <f>IF(B142="","",SUM(D142:F142))</f>
        <v>0</v>
      </c>
      <c r="H142">
        <f>IF(B142="","",TEXT(B142,"mmm"))</f>
        <v>0</v>
      </c>
      <c r="I142">
        <f>IF(B142="","",YEAR(B142))</f>
        <v>0</v>
      </c>
      <c r="K142">
        <f>IF(B142="","",YEAR(B142)+IF(MONTH(B142)&gt;=10,1,0))</f>
        <v>0</v>
      </c>
    </row>
    <row r="143">
      <c r="A143">
        <v>139</v>
      </c>
      <c r="G143" s="5">
        <f>IF(B143="","",SUM(D143:F143))</f>
        <v>0</v>
      </c>
      <c r="H143">
        <f>IF(B143="","",TEXT(B143,"mmm"))</f>
        <v>0</v>
      </c>
      <c r="I143">
        <f>IF(B143="","",YEAR(B143))</f>
        <v>0</v>
      </c>
      <c r="K143">
        <f>IF(B143="","",YEAR(B143)+IF(MONTH(B143)&gt;=10,1,0))</f>
        <v>0</v>
      </c>
    </row>
    <row r="144">
      <c r="A144">
        <v>140</v>
      </c>
      <c r="G144" s="5">
        <f>IF(B144="","",SUM(D144:F144))</f>
        <v>0</v>
      </c>
      <c r="H144">
        <f>IF(B144="","",TEXT(B144,"mmm"))</f>
        <v>0</v>
      </c>
      <c r="I144">
        <f>IF(B144="","",YEAR(B144))</f>
        <v>0</v>
      </c>
      <c r="K144">
        <f>IF(B144="","",YEAR(B144)+IF(MONTH(B144)&gt;=10,1,0))</f>
        <v>0</v>
      </c>
    </row>
    <row r="145">
      <c r="A145">
        <v>141</v>
      </c>
      <c r="G145" s="5">
        <f>IF(B145="","",SUM(D145:F145))</f>
        <v>0</v>
      </c>
      <c r="H145">
        <f>IF(B145="","",TEXT(B145,"mmm"))</f>
        <v>0</v>
      </c>
      <c r="I145">
        <f>IF(B145="","",YEAR(B145))</f>
        <v>0</v>
      </c>
      <c r="K145">
        <f>IF(B145="","",YEAR(B145)+IF(MONTH(B145)&gt;=10,1,0))</f>
        <v>0</v>
      </c>
    </row>
    <row r="146">
      <c r="A146">
        <v>142</v>
      </c>
      <c r="G146" s="5">
        <f>IF(B146="","",SUM(D146:F146))</f>
        <v>0</v>
      </c>
      <c r="H146">
        <f>IF(B146="","",TEXT(B146,"mmm"))</f>
        <v>0</v>
      </c>
      <c r="I146">
        <f>IF(B146="","",YEAR(B146))</f>
        <v>0</v>
      </c>
      <c r="K146">
        <f>IF(B146="","",YEAR(B146)+IF(MONTH(B146)&gt;=10,1,0))</f>
        <v>0</v>
      </c>
    </row>
    <row r="147">
      <c r="A147">
        <v>143</v>
      </c>
      <c r="G147" s="5">
        <f>IF(B147="","",SUM(D147:F147))</f>
        <v>0</v>
      </c>
      <c r="H147">
        <f>IF(B147="","",TEXT(B147,"mmm"))</f>
        <v>0</v>
      </c>
      <c r="I147">
        <f>IF(B147="","",YEAR(B147))</f>
        <v>0</v>
      </c>
      <c r="K147">
        <f>IF(B147="","",YEAR(B147)+IF(MONTH(B147)&gt;=10,1,0))</f>
        <v>0</v>
      </c>
    </row>
    <row r="148">
      <c r="A148">
        <v>144</v>
      </c>
      <c r="G148" s="5">
        <f>IF(B148="","",SUM(D148:F148))</f>
        <v>0</v>
      </c>
      <c r="H148">
        <f>IF(B148="","",TEXT(B148,"mmm"))</f>
        <v>0</v>
      </c>
      <c r="I148">
        <f>IF(B148="","",YEAR(B148))</f>
        <v>0</v>
      </c>
      <c r="K148">
        <f>IF(B148="","",YEAR(B148)+IF(MONTH(B148)&gt;=10,1,0))</f>
        <v>0</v>
      </c>
    </row>
    <row r="149">
      <c r="A149">
        <v>145</v>
      </c>
      <c r="G149" s="5">
        <f>IF(B149="","",SUM(D149:F149))</f>
        <v>0</v>
      </c>
      <c r="H149">
        <f>IF(B149="","",TEXT(B149,"mmm"))</f>
        <v>0</v>
      </c>
      <c r="I149">
        <f>IF(B149="","",YEAR(B149))</f>
        <v>0</v>
      </c>
      <c r="K149">
        <f>IF(B149="","",YEAR(B149)+IF(MONTH(B149)&gt;=10,1,0))</f>
        <v>0</v>
      </c>
    </row>
    <row r="150">
      <c r="A150">
        <v>146</v>
      </c>
      <c r="G150" s="5">
        <f>IF(B150="","",SUM(D150:F150))</f>
        <v>0</v>
      </c>
      <c r="H150">
        <f>IF(B150="","",TEXT(B150,"mmm"))</f>
        <v>0</v>
      </c>
      <c r="I150">
        <f>IF(B150="","",YEAR(B150))</f>
        <v>0</v>
      </c>
      <c r="K150">
        <f>IF(B150="","",YEAR(B150)+IF(MONTH(B150)&gt;=10,1,0))</f>
        <v>0</v>
      </c>
    </row>
    <row r="151">
      <c r="A151">
        <v>147</v>
      </c>
      <c r="G151" s="5">
        <f>IF(B151="","",SUM(D151:F151))</f>
        <v>0</v>
      </c>
      <c r="H151">
        <f>IF(B151="","",TEXT(B151,"mmm"))</f>
        <v>0</v>
      </c>
      <c r="I151">
        <f>IF(B151="","",YEAR(B151))</f>
        <v>0</v>
      </c>
      <c r="K151">
        <f>IF(B151="","",YEAR(B151)+IF(MONTH(B151)&gt;=10,1,0))</f>
        <v>0</v>
      </c>
    </row>
    <row r="152">
      <c r="A152">
        <v>148</v>
      </c>
      <c r="G152" s="5">
        <f>IF(B152="","",SUM(D152:F152))</f>
        <v>0</v>
      </c>
      <c r="H152">
        <f>IF(B152="","",TEXT(B152,"mmm"))</f>
        <v>0</v>
      </c>
      <c r="I152">
        <f>IF(B152="","",YEAR(B152))</f>
        <v>0</v>
      </c>
      <c r="K152">
        <f>IF(B152="","",YEAR(B152)+IF(MONTH(B152)&gt;=10,1,0))</f>
        <v>0</v>
      </c>
    </row>
    <row r="153">
      <c r="A153">
        <v>149</v>
      </c>
      <c r="G153" s="5">
        <f>IF(B153="","",SUM(D153:F153))</f>
        <v>0</v>
      </c>
      <c r="H153">
        <f>IF(B153="","",TEXT(B153,"mmm"))</f>
        <v>0</v>
      </c>
      <c r="I153">
        <f>IF(B153="","",YEAR(B153))</f>
        <v>0</v>
      </c>
      <c r="K153">
        <f>IF(B153="","",YEAR(B153)+IF(MONTH(B153)&gt;=10,1,0))</f>
        <v>0</v>
      </c>
    </row>
    <row r="154">
      <c r="A154">
        <v>150</v>
      </c>
      <c r="G154" s="5">
        <f>IF(B154="","",SUM(D154:F154))</f>
        <v>0</v>
      </c>
      <c r="H154">
        <f>IF(B154="","",TEXT(B154,"mmm"))</f>
        <v>0</v>
      </c>
      <c r="I154">
        <f>IF(B154="","",YEAR(B154))</f>
        <v>0</v>
      </c>
      <c r="K154">
        <f>IF(B154="","",YEAR(B154)+IF(MONTH(B154)&gt;=10,1,0))</f>
        <v>0</v>
      </c>
    </row>
    <row r="155">
      <c r="A155">
        <v>151</v>
      </c>
      <c r="G155" s="5">
        <f>IF(B155="","",SUM(D155:F155))</f>
        <v>0</v>
      </c>
      <c r="H155">
        <f>IF(B155="","",TEXT(B155,"mmm"))</f>
        <v>0</v>
      </c>
      <c r="I155">
        <f>IF(B155="","",YEAR(B155))</f>
        <v>0</v>
      </c>
      <c r="K155">
        <f>IF(B155="","",YEAR(B155)+IF(MONTH(B155)&gt;=10,1,0))</f>
        <v>0</v>
      </c>
    </row>
    <row r="156">
      <c r="A156">
        <v>152</v>
      </c>
      <c r="G156" s="5">
        <f>IF(B156="","",SUM(D156:F156))</f>
        <v>0</v>
      </c>
      <c r="H156">
        <f>IF(B156="","",TEXT(B156,"mmm"))</f>
        <v>0</v>
      </c>
      <c r="I156">
        <f>IF(B156="","",YEAR(B156))</f>
        <v>0</v>
      </c>
      <c r="K156">
        <f>IF(B156="","",YEAR(B156)+IF(MONTH(B156)&gt;=10,1,0))</f>
        <v>0</v>
      </c>
    </row>
    <row r="157">
      <c r="A157">
        <v>153</v>
      </c>
      <c r="G157" s="5">
        <f>IF(B157="","",SUM(D157:F157))</f>
        <v>0</v>
      </c>
      <c r="H157">
        <f>IF(B157="","",TEXT(B157,"mmm"))</f>
        <v>0</v>
      </c>
      <c r="I157">
        <f>IF(B157="","",YEAR(B157))</f>
        <v>0</v>
      </c>
      <c r="K157">
        <f>IF(B157="","",YEAR(B157)+IF(MONTH(B157)&gt;=10,1,0))</f>
        <v>0</v>
      </c>
    </row>
    <row r="158">
      <c r="A158">
        <v>154</v>
      </c>
      <c r="G158" s="5">
        <f>IF(B158="","",SUM(D158:F158))</f>
        <v>0</v>
      </c>
      <c r="H158">
        <f>IF(B158="","",TEXT(B158,"mmm"))</f>
        <v>0</v>
      </c>
      <c r="I158">
        <f>IF(B158="","",YEAR(B158))</f>
        <v>0</v>
      </c>
      <c r="K158">
        <f>IF(B158="","",YEAR(B158)+IF(MONTH(B158)&gt;=10,1,0))</f>
        <v>0</v>
      </c>
    </row>
    <row r="159">
      <c r="A159">
        <v>155</v>
      </c>
      <c r="G159" s="5">
        <f>IF(B159="","",SUM(D159:F159))</f>
        <v>0</v>
      </c>
      <c r="H159">
        <f>IF(B159="","",TEXT(B159,"mmm"))</f>
        <v>0</v>
      </c>
      <c r="I159">
        <f>IF(B159="","",YEAR(B159))</f>
        <v>0</v>
      </c>
      <c r="K159">
        <f>IF(B159="","",YEAR(B159)+IF(MONTH(B159)&gt;=10,1,0))</f>
        <v>0</v>
      </c>
    </row>
    <row r="160">
      <c r="A160">
        <v>156</v>
      </c>
      <c r="G160" s="5">
        <f>IF(B160="","",SUM(D160:F160))</f>
        <v>0</v>
      </c>
      <c r="H160">
        <f>IF(B160="","",TEXT(B160,"mmm"))</f>
        <v>0</v>
      </c>
      <c r="I160">
        <f>IF(B160="","",YEAR(B160))</f>
        <v>0</v>
      </c>
      <c r="K160">
        <f>IF(B160="","",YEAR(B160)+IF(MONTH(B160)&gt;=10,1,0))</f>
        <v>0</v>
      </c>
    </row>
    <row r="161">
      <c r="A161">
        <v>157</v>
      </c>
      <c r="G161" s="5">
        <f>IF(B161="","",SUM(D161:F161))</f>
        <v>0</v>
      </c>
      <c r="H161">
        <f>IF(B161="","",TEXT(B161,"mmm"))</f>
        <v>0</v>
      </c>
      <c r="I161">
        <f>IF(B161="","",YEAR(B161))</f>
        <v>0</v>
      </c>
      <c r="K161">
        <f>IF(B161="","",YEAR(B161)+IF(MONTH(B161)&gt;=10,1,0))</f>
        <v>0</v>
      </c>
    </row>
    <row r="162">
      <c r="A162">
        <v>158</v>
      </c>
      <c r="G162" s="5">
        <f>IF(B162="","",SUM(D162:F162))</f>
        <v>0</v>
      </c>
      <c r="H162">
        <f>IF(B162="","",TEXT(B162,"mmm"))</f>
        <v>0</v>
      </c>
      <c r="I162">
        <f>IF(B162="","",YEAR(B162))</f>
        <v>0</v>
      </c>
      <c r="K162">
        <f>IF(B162="","",YEAR(B162)+IF(MONTH(B162)&gt;=10,1,0))</f>
        <v>0</v>
      </c>
    </row>
    <row r="163">
      <c r="A163">
        <v>159</v>
      </c>
      <c r="G163" s="5">
        <f>IF(B163="","",SUM(D163:F163))</f>
        <v>0</v>
      </c>
      <c r="H163">
        <f>IF(B163="","",TEXT(B163,"mmm"))</f>
        <v>0</v>
      </c>
      <c r="I163">
        <f>IF(B163="","",YEAR(B163))</f>
        <v>0</v>
      </c>
      <c r="K163">
        <f>IF(B163="","",YEAR(B163)+IF(MONTH(B163)&gt;=10,1,0))</f>
        <v>0</v>
      </c>
    </row>
    <row r="164">
      <c r="A164">
        <v>160</v>
      </c>
      <c r="G164" s="5">
        <f>IF(B164="","",SUM(D164:F164))</f>
        <v>0</v>
      </c>
      <c r="H164">
        <f>IF(B164="","",TEXT(B164,"mmm"))</f>
        <v>0</v>
      </c>
      <c r="I164">
        <f>IF(B164="","",YEAR(B164))</f>
        <v>0</v>
      </c>
      <c r="K164">
        <f>IF(B164="","",YEAR(B164)+IF(MONTH(B164)&gt;=10,1,0))</f>
        <v>0</v>
      </c>
    </row>
    <row r="165">
      <c r="A165">
        <v>161</v>
      </c>
      <c r="G165" s="5">
        <f>IF(B165="","",SUM(D165:F165))</f>
        <v>0</v>
      </c>
      <c r="H165">
        <f>IF(B165="","",TEXT(B165,"mmm"))</f>
        <v>0</v>
      </c>
      <c r="I165">
        <f>IF(B165="","",YEAR(B165))</f>
        <v>0</v>
      </c>
      <c r="K165">
        <f>IF(B165="","",YEAR(B165)+IF(MONTH(B165)&gt;=10,1,0))</f>
        <v>0</v>
      </c>
    </row>
    <row r="166">
      <c r="A166">
        <v>162</v>
      </c>
      <c r="G166" s="5">
        <f>IF(B166="","",SUM(D166:F166))</f>
        <v>0</v>
      </c>
      <c r="H166">
        <f>IF(B166="","",TEXT(B166,"mmm"))</f>
        <v>0</v>
      </c>
      <c r="I166">
        <f>IF(B166="","",YEAR(B166))</f>
        <v>0</v>
      </c>
      <c r="K166">
        <f>IF(B166="","",YEAR(B166)+IF(MONTH(B166)&gt;=10,1,0))</f>
        <v>0</v>
      </c>
    </row>
    <row r="167">
      <c r="A167">
        <v>163</v>
      </c>
      <c r="G167" s="5">
        <f>IF(B167="","",SUM(D167:F167))</f>
        <v>0</v>
      </c>
      <c r="H167">
        <f>IF(B167="","",TEXT(B167,"mmm"))</f>
        <v>0</v>
      </c>
      <c r="I167">
        <f>IF(B167="","",YEAR(B167))</f>
        <v>0</v>
      </c>
      <c r="K167">
        <f>IF(B167="","",YEAR(B167)+IF(MONTH(B167)&gt;=10,1,0))</f>
        <v>0</v>
      </c>
    </row>
    <row r="168">
      <c r="A168">
        <v>164</v>
      </c>
      <c r="G168" s="5">
        <f>IF(B168="","",SUM(D168:F168))</f>
        <v>0</v>
      </c>
      <c r="H168">
        <f>IF(B168="","",TEXT(B168,"mmm"))</f>
        <v>0</v>
      </c>
      <c r="I168">
        <f>IF(B168="","",YEAR(B168))</f>
        <v>0</v>
      </c>
      <c r="K168">
        <f>IF(B168="","",YEAR(B168)+IF(MONTH(B168)&gt;=10,1,0))</f>
        <v>0</v>
      </c>
    </row>
    <row r="169">
      <c r="A169">
        <v>165</v>
      </c>
      <c r="G169" s="5">
        <f>IF(B169="","",SUM(D169:F169))</f>
        <v>0</v>
      </c>
      <c r="H169">
        <f>IF(B169="","",TEXT(B169,"mmm"))</f>
        <v>0</v>
      </c>
      <c r="I169">
        <f>IF(B169="","",YEAR(B169))</f>
        <v>0</v>
      </c>
      <c r="K169">
        <f>IF(B169="","",YEAR(B169)+IF(MONTH(B169)&gt;=10,1,0))</f>
        <v>0</v>
      </c>
    </row>
    <row r="170">
      <c r="A170">
        <v>166</v>
      </c>
      <c r="G170" s="5">
        <f>IF(B170="","",SUM(D170:F170))</f>
        <v>0</v>
      </c>
      <c r="H170">
        <f>IF(B170="","",TEXT(B170,"mmm"))</f>
        <v>0</v>
      </c>
      <c r="I170">
        <f>IF(B170="","",YEAR(B170))</f>
        <v>0</v>
      </c>
      <c r="K170">
        <f>IF(B170="","",YEAR(B170)+IF(MONTH(B170)&gt;=10,1,0))</f>
        <v>0</v>
      </c>
    </row>
    <row r="171">
      <c r="A171">
        <v>167</v>
      </c>
      <c r="G171" s="5">
        <f>IF(B171="","",SUM(D171:F171))</f>
        <v>0</v>
      </c>
      <c r="H171">
        <f>IF(B171="","",TEXT(B171,"mmm"))</f>
        <v>0</v>
      </c>
      <c r="I171">
        <f>IF(B171="","",YEAR(B171))</f>
        <v>0</v>
      </c>
      <c r="K171">
        <f>IF(B171="","",YEAR(B171)+IF(MONTH(B171)&gt;=10,1,0))</f>
        <v>0</v>
      </c>
    </row>
    <row r="172">
      <c r="A172">
        <v>168</v>
      </c>
      <c r="G172" s="5">
        <f>IF(B172="","",SUM(D172:F172))</f>
        <v>0</v>
      </c>
      <c r="H172">
        <f>IF(B172="","",TEXT(B172,"mmm"))</f>
        <v>0</v>
      </c>
      <c r="I172">
        <f>IF(B172="","",YEAR(B172))</f>
        <v>0</v>
      </c>
      <c r="K172">
        <f>IF(B172="","",YEAR(B172)+IF(MONTH(B172)&gt;=10,1,0))</f>
        <v>0</v>
      </c>
    </row>
    <row r="173">
      <c r="A173">
        <v>169</v>
      </c>
      <c r="G173" s="5">
        <f>IF(B173="","",SUM(D173:F173))</f>
        <v>0</v>
      </c>
      <c r="H173">
        <f>IF(B173="","",TEXT(B173,"mmm"))</f>
        <v>0</v>
      </c>
      <c r="I173">
        <f>IF(B173="","",YEAR(B173))</f>
        <v>0</v>
      </c>
      <c r="K173">
        <f>IF(B173="","",YEAR(B173)+IF(MONTH(B173)&gt;=10,1,0))</f>
        <v>0</v>
      </c>
    </row>
    <row r="174">
      <c r="A174">
        <v>170</v>
      </c>
      <c r="G174" s="5">
        <f>IF(B174="","",SUM(D174:F174))</f>
        <v>0</v>
      </c>
      <c r="H174">
        <f>IF(B174="","",TEXT(B174,"mmm"))</f>
        <v>0</v>
      </c>
      <c r="I174">
        <f>IF(B174="","",YEAR(B174))</f>
        <v>0</v>
      </c>
      <c r="K174">
        <f>IF(B174="","",YEAR(B174)+IF(MONTH(B174)&gt;=10,1,0))</f>
        <v>0</v>
      </c>
    </row>
    <row r="175">
      <c r="A175">
        <v>171</v>
      </c>
      <c r="G175" s="5">
        <f>IF(B175="","",SUM(D175:F175))</f>
        <v>0</v>
      </c>
      <c r="H175">
        <f>IF(B175="","",TEXT(B175,"mmm"))</f>
        <v>0</v>
      </c>
      <c r="I175">
        <f>IF(B175="","",YEAR(B175))</f>
        <v>0</v>
      </c>
      <c r="K175">
        <f>IF(B175="","",YEAR(B175)+IF(MONTH(B175)&gt;=10,1,0))</f>
        <v>0</v>
      </c>
    </row>
    <row r="176">
      <c r="A176">
        <v>172</v>
      </c>
      <c r="G176" s="5">
        <f>IF(B176="","",SUM(D176:F176))</f>
        <v>0</v>
      </c>
      <c r="H176">
        <f>IF(B176="","",TEXT(B176,"mmm"))</f>
        <v>0</v>
      </c>
      <c r="I176">
        <f>IF(B176="","",YEAR(B176))</f>
        <v>0</v>
      </c>
      <c r="K176">
        <f>IF(B176="","",YEAR(B176)+IF(MONTH(B176)&gt;=10,1,0))</f>
        <v>0</v>
      </c>
    </row>
    <row r="177">
      <c r="A177">
        <v>173</v>
      </c>
      <c r="G177" s="5">
        <f>IF(B177="","",SUM(D177:F177))</f>
        <v>0</v>
      </c>
      <c r="H177">
        <f>IF(B177="","",TEXT(B177,"mmm"))</f>
        <v>0</v>
      </c>
      <c r="I177">
        <f>IF(B177="","",YEAR(B177))</f>
        <v>0</v>
      </c>
      <c r="K177">
        <f>IF(B177="","",YEAR(B177)+IF(MONTH(B177)&gt;=10,1,0))</f>
        <v>0</v>
      </c>
    </row>
    <row r="178">
      <c r="A178">
        <v>174</v>
      </c>
      <c r="G178" s="5">
        <f>IF(B178="","",SUM(D178:F178))</f>
        <v>0</v>
      </c>
      <c r="H178">
        <f>IF(B178="","",TEXT(B178,"mmm"))</f>
        <v>0</v>
      </c>
      <c r="I178">
        <f>IF(B178="","",YEAR(B178))</f>
        <v>0</v>
      </c>
      <c r="K178">
        <f>IF(B178="","",YEAR(B178)+IF(MONTH(B178)&gt;=10,1,0))</f>
        <v>0</v>
      </c>
    </row>
    <row r="179">
      <c r="A179">
        <v>175</v>
      </c>
      <c r="G179" s="5">
        <f>IF(B179="","",SUM(D179:F179))</f>
        <v>0</v>
      </c>
      <c r="H179">
        <f>IF(B179="","",TEXT(B179,"mmm"))</f>
        <v>0</v>
      </c>
      <c r="I179">
        <f>IF(B179="","",YEAR(B179))</f>
        <v>0</v>
      </c>
      <c r="K179">
        <f>IF(B179="","",YEAR(B179)+IF(MONTH(B179)&gt;=10,1,0))</f>
        <v>0</v>
      </c>
    </row>
    <row r="180">
      <c r="A180">
        <v>176</v>
      </c>
      <c r="G180" s="5">
        <f>IF(B180="","",SUM(D180:F180))</f>
        <v>0</v>
      </c>
      <c r="H180">
        <f>IF(B180="","",TEXT(B180,"mmm"))</f>
        <v>0</v>
      </c>
      <c r="I180">
        <f>IF(B180="","",YEAR(B180))</f>
        <v>0</v>
      </c>
      <c r="K180">
        <f>IF(B180="","",YEAR(B180)+IF(MONTH(B180)&gt;=10,1,0))</f>
        <v>0</v>
      </c>
    </row>
    <row r="181">
      <c r="A181">
        <v>177</v>
      </c>
      <c r="G181" s="5">
        <f>IF(B181="","",SUM(D181:F181))</f>
        <v>0</v>
      </c>
      <c r="H181">
        <f>IF(B181="","",TEXT(B181,"mmm"))</f>
        <v>0</v>
      </c>
      <c r="I181">
        <f>IF(B181="","",YEAR(B181))</f>
        <v>0</v>
      </c>
      <c r="K181">
        <f>IF(B181="","",YEAR(B181)+IF(MONTH(B181)&gt;=10,1,0))</f>
        <v>0</v>
      </c>
    </row>
    <row r="182">
      <c r="A182">
        <v>178</v>
      </c>
      <c r="G182" s="5">
        <f>IF(B182="","",SUM(D182:F182))</f>
        <v>0</v>
      </c>
      <c r="H182">
        <f>IF(B182="","",TEXT(B182,"mmm"))</f>
        <v>0</v>
      </c>
      <c r="I182">
        <f>IF(B182="","",YEAR(B182))</f>
        <v>0</v>
      </c>
      <c r="K182">
        <f>IF(B182="","",YEAR(B182)+IF(MONTH(B182)&gt;=10,1,0))</f>
        <v>0</v>
      </c>
    </row>
    <row r="183">
      <c r="A183">
        <v>179</v>
      </c>
      <c r="G183" s="5">
        <f>IF(B183="","",SUM(D183:F183))</f>
        <v>0</v>
      </c>
      <c r="H183">
        <f>IF(B183="","",TEXT(B183,"mmm"))</f>
        <v>0</v>
      </c>
      <c r="I183">
        <f>IF(B183="","",YEAR(B183))</f>
        <v>0</v>
      </c>
      <c r="K183">
        <f>IF(B183="","",YEAR(B183)+IF(MONTH(B183)&gt;=10,1,0))</f>
        <v>0</v>
      </c>
    </row>
    <row r="184">
      <c r="A184">
        <v>180</v>
      </c>
      <c r="G184" s="5">
        <f>IF(B184="","",SUM(D184:F184))</f>
        <v>0</v>
      </c>
      <c r="H184">
        <f>IF(B184="","",TEXT(B184,"mmm"))</f>
        <v>0</v>
      </c>
      <c r="I184">
        <f>IF(B184="","",YEAR(B184))</f>
        <v>0</v>
      </c>
      <c r="K184">
        <f>IF(B184="","",YEAR(B184)+IF(MONTH(B184)&gt;=10,1,0))</f>
        <v>0</v>
      </c>
    </row>
    <row r="185">
      <c r="A185">
        <v>181</v>
      </c>
      <c r="G185" s="5">
        <f>IF(B185="","",SUM(D185:F185))</f>
        <v>0</v>
      </c>
      <c r="H185">
        <f>IF(B185="","",TEXT(B185,"mmm"))</f>
        <v>0</v>
      </c>
      <c r="I185">
        <f>IF(B185="","",YEAR(B185))</f>
        <v>0</v>
      </c>
      <c r="K185">
        <f>IF(B185="","",YEAR(B185)+IF(MONTH(B185)&gt;=10,1,0))</f>
        <v>0</v>
      </c>
    </row>
    <row r="186">
      <c r="A186">
        <v>182</v>
      </c>
      <c r="G186" s="5">
        <f>IF(B186="","",SUM(D186:F186))</f>
        <v>0</v>
      </c>
      <c r="H186">
        <f>IF(B186="","",TEXT(B186,"mmm"))</f>
        <v>0</v>
      </c>
      <c r="I186">
        <f>IF(B186="","",YEAR(B186))</f>
        <v>0</v>
      </c>
      <c r="K186">
        <f>IF(B186="","",YEAR(B186)+IF(MONTH(B186)&gt;=10,1,0))</f>
        <v>0</v>
      </c>
    </row>
    <row r="187">
      <c r="A187">
        <v>183</v>
      </c>
      <c r="G187" s="5">
        <f>IF(B187="","",SUM(D187:F187))</f>
        <v>0</v>
      </c>
      <c r="H187">
        <f>IF(B187="","",TEXT(B187,"mmm"))</f>
        <v>0</v>
      </c>
      <c r="I187">
        <f>IF(B187="","",YEAR(B187))</f>
        <v>0</v>
      </c>
      <c r="K187">
        <f>IF(B187="","",YEAR(B187)+IF(MONTH(B187)&gt;=10,1,0))</f>
        <v>0</v>
      </c>
    </row>
    <row r="188">
      <c r="A188">
        <v>184</v>
      </c>
      <c r="G188" s="5">
        <f>IF(B188="","",SUM(D188:F188))</f>
        <v>0</v>
      </c>
      <c r="H188">
        <f>IF(B188="","",TEXT(B188,"mmm"))</f>
        <v>0</v>
      </c>
      <c r="I188">
        <f>IF(B188="","",YEAR(B188))</f>
        <v>0</v>
      </c>
      <c r="K188">
        <f>IF(B188="","",YEAR(B188)+IF(MONTH(B188)&gt;=10,1,0))</f>
        <v>0</v>
      </c>
    </row>
    <row r="189">
      <c r="A189">
        <v>185</v>
      </c>
      <c r="G189" s="5">
        <f>IF(B189="","",SUM(D189:F189))</f>
        <v>0</v>
      </c>
      <c r="H189">
        <f>IF(B189="","",TEXT(B189,"mmm"))</f>
        <v>0</v>
      </c>
      <c r="I189">
        <f>IF(B189="","",YEAR(B189))</f>
        <v>0</v>
      </c>
      <c r="K189">
        <f>IF(B189="","",YEAR(B189)+IF(MONTH(B189)&gt;=10,1,0))</f>
        <v>0</v>
      </c>
    </row>
    <row r="190">
      <c r="A190">
        <v>186</v>
      </c>
      <c r="G190" s="5">
        <f>IF(B190="","",SUM(D190:F190))</f>
        <v>0</v>
      </c>
      <c r="H190">
        <f>IF(B190="","",TEXT(B190,"mmm"))</f>
        <v>0</v>
      </c>
      <c r="I190">
        <f>IF(B190="","",YEAR(B190))</f>
        <v>0</v>
      </c>
      <c r="K190">
        <f>IF(B190="","",YEAR(B190)+IF(MONTH(B190)&gt;=10,1,0))</f>
        <v>0</v>
      </c>
    </row>
    <row r="191">
      <c r="A191">
        <v>187</v>
      </c>
      <c r="G191" s="5">
        <f>IF(B191="","",SUM(D191:F191))</f>
        <v>0</v>
      </c>
      <c r="H191">
        <f>IF(B191="","",TEXT(B191,"mmm"))</f>
        <v>0</v>
      </c>
      <c r="I191">
        <f>IF(B191="","",YEAR(B191))</f>
        <v>0</v>
      </c>
      <c r="K191">
        <f>IF(B191="","",YEAR(B191)+IF(MONTH(B191)&gt;=10,1,0))</f>
        <v>0</v>
      </c>
    </row>
    <row r="192">
      <c r="A192">
        <v>188</v>
      </c>
      <c r="G192" s="5">
        <f>IF(B192="","",SUM(D192:F192))</f>
        <v>0</v>
      </c>
      <c r="H192">
        <f>IF(B192="","",TEXT(B192,"mmm"))</f>
        <v>0</v>
      </c>
      <c r="I192">
        <f>IF(B192="","",YEAR(B192))</f>
        <v>0</v>
      </c>
      <c r="K192">
        <f>IF(B192="","",YEAR(B192)+IF(MONTH(B192)&gt;=10,1,0))</f>
        <v>0</v>
      </c>
    </row>
    <row r="193">
      <c r="A193">
        <v>189</v>
      </c>
      <c r="G193" s="5">
        <f>IF(B193="","",SUM(D193:F193))</f>
        <v>0</v>
      </c>
      <c r="H193">
        <f>IF(B193="","",TEXT(B193,"mmm"))</f>
        <v>0</v>
      </c>
      <c r="I193">
        <f>IF(B193="","",YEAR(B193))</f>
        <v>0</v>
      </c>
      <c r="K193">
        <f>IF(B193="","",YEAR(B193)+IF(MONTH(B193)&gt;=10,1,0))</f>
        <v>0</v>
      </c>
    </row>
    <row r="194">
      <c r="A194">
        <v>190</v>
      </c>
      <c r="G194" s="5">
        <f>IF(B194="","",SUM(D194:F194))</f>
        <v>0</v>
      </c>
      <c r="H194">
        <f>IF(B194="","",TEXT(B194,"mmm"))</f>
        <v>0</v>
      </c>
      <c r="I194">
        <f>IF(B194="","",YEAR(B194))</f>
        <v>0</v>
      </c>
      <c r="K194">
        <f>IF(B194="","",YEAR(B194)+IF(MONTH(B194)&gt;=10,1,0))</f>
        <v>0</v>
      </c>
    </row>
    <row r="195">
      <c r="A195">
        <v>191</v>
      </c>
      <c r="G195" s="5">
        <f>IF(B195="","",SUM(D195:F195))</f>
        <v>0</v>
      </c>
      <c r="H195">
        <f>IF(B195="","",TEXT(B195,"mmm"))</f>
        <v>0</v>
      </c>
      <c r="I195">
        <f>IF(B195="","",YEAR(B195))</f>
        <v>0</v>
      </c>
      <c r="K195">
        <f>IF(B195="","",YEAR(B195)+IF(MONTH(B195)&gt;=10,1,0))</f>
        <v>0</v>
      </c>
    </row>
    <row r="196">
      <c r="A196">
        <v>192</v>
      </c>
      <c r="G196" s="5">
        <f>IF(B196="","",SUM(D196:F196))</f>
        <v>0</v>
      </c>
      <c r="H196">
        <f>IF(B196="","",TEXT(B196,"mmm"))</f>
        <v>0</v>
      </c>
      <c r="I196">
        <f>IF(B196="","",YEAR(B196))</f>
        <v>0</v>
      </c>
      <c r="K196">
        <f>IF(B196="","",YEAR(B196)+IF(MONTH(B196)&gt;=10,1,0))</f>
        <v>0</v>
      </c>
    </row>
    <row r="197">
      <c r="A197">
        <v>193</v>
      </c>
      <c r="G197" s="5">
        <f>IF(B197="","",SUM(D197:F197))</f>
        <v>0</v>
      </c>
      <c r="H197">
        <f>IF(B197="","",TEXT(B197,"mmm"))</f>
        <v>0</v>
      </c>
      <c r="I197">
        <f>IF(B197="","",YEAR(B197))</f>
        <v>0</v>
      </c>
      <c r="K197">
        <f>IF(B197="","",YEAR(B197)+IF(MONTH(B197)&gt;=10,1,0))</f>
        <v>0</v>
      </c>
    </row>
    <row r="198">
      <c r="A198">
        <v>194</v>
      </c>
      <c r="G198" s="5">
        <f>IF(B198="","",SUM(D198:F198))</f>
        <v>0</v>
      </c>
      <c r="H198">
        <f>IF(B198="","",TEXT(B198,"mmm"))</f>
        <v>0</v>
      </c>
      <c r="I198">
        <f>IF(B198="","",YEAR(B198))</f>
        <v>0</v>
      </c>
      <c r="K198">
        <f>IF(B198="","",YEAR(B198)+IF(MONTH(B198)&gt;=10,1,0))</f>
        <v>0</v>
      </c>
    </row>
    <row r="199">
      <c r="A199">
        <v>195</v>
      </c>
      <c r="G199" s="5">
        <f>IF(B199="","",SUM(D199:F199))</f>
        <v>0</v>
      </c>
      <c r="H199">
        <f>IF(B199="","",TEXT(B199,"mmm"))</f>
        <v>0</v>
      </c>
      <c r="I199">
        <f>IF(B199="","",YEAR(B199))</f>
        <v>0</v>
      </c>
      <c r="K199">
        <f>IF(B199="","",YEAR(B199)+IF(MONTH(B199)&gt;=10,1,0))</f>
        <v>0</v>
      </c>
    </row>
    <row r="200">
      <c r="A200">
        <v>196</v>
      </c>
      <c r="G200" s="5">
        <f>IF(B200="","",SUM(D200:F200))</f>
        <v>0</v>
      </c>
      <c r="H200">
        <f>IF(B200="","",TEXT(B200,"mmm"))</f>
        <v>0</v>
      </c>
      <c r="I200">
        <f>IF(B200="","",YEAR(B200))</f>
        <v>0</v>
      </c>
      <c r="K200">
        <f>IF(B200="","",YEAR(B200)+IF(MONTH(B200)&gt;=10,1,0))</f>
        <v>0</v>
      </c>
    </row>
    <row r="201">
      <c r="A201">
        <v>197</v>
      </c>
      <c r="G201" s="5">
        <f>IF(B201="","",SUM(D201:F201))</f>
        <v>0</v>
      </c>
      <c r="H201">
        <f>IF(B201="","",TEXT(B201,"mmm"))</f>
        <v>0</v>
      </c>
      <c r="I201">
        <f>IF(B201="","",YEAR(B201))</f>
        <v>0</v>
      </c>
      <c r="K201">
        <f>IF(B201="","",YEAR(B201)+IF(MONTH(B201)&gt;=10,1,0))</f>
        <v>0</v>
      </c>
    </row>
    <row r="202">
      <c r="A202">
        <v>198</v>
      </c>
      <c r="G202" s="5">
        <f>IF(B202="","",SUM(D202:F202))</f>
        <v>0</v>
      </c>
      <c r="H202">
        <f>IF(B202="","",TEXT(B202,"mmm"))</f>
        <v>0</v>
      </c>
      <c r="I202">
        <f>IF(B202="","",YEAR(B202))</f>
        <v>0</v>
      </c>
      <c r="K202">
        <f>IF(B202="","",YEAR(B202)+IF(MONTH(B202)&gt;=10,1,0))</f>
        <v>0</v>
      </c>
    </row>
    <row r="203">
      <c r="A203">
        <v>199</v>
      </c>
      <c r="G203" s="5">
        <f>IF(B203="","",SUM(D203:F203))</f>
        <v>0</v>
      </c>
      <c r="H203">
        <f>IF(B203="","",TEXT(B203,"mmm"))</f>
        <v>0</v>
      </c>
      <c r="I203">
        <f>IF(B203="","",YEAR(B203))</f>
        <v>0</v>
      </c>
      <c r="K203">
        <f>IF(B203="","",YEAR(B203)+IF(MONTH(B203)&gt;=10,1,0))</f>
        <v>0</v>
      </c>
    </row>
    <row r="204">
      <c r="A204">
        <v>200</v>
      </c>
      <c r="G204" s="5">
        <f>IF(B204="","",SUM(D204:F204))</f>
        <v>0</v>
      </c>
      <c r="H204">
        <f>IF(B204="","",TEXT(B204,"mmm"))</f>
        <v>0</v>
      </c>
      <c r="I204">
        <f>IF(B204="","",YEAR(B204))</f>
        <v>0</v>
      </c>
      <c r="K204">
        <f>IF(B204="","",YEAR(B204)+IF(MONTH(B204)&gt;=10,1,0))</f>
        <v>0</v>
      </c>
    </row>
    <row r="205">
      <c r="A205">
        <v>201</v>
      </c>
      <c r="G205" s="5">
        <f>IF(B205="","",SUM(D205:F205))</f>
        <v>0</v>
      </c>
      <c r="H205">
        <f>IF(B205="","",TEXT(B205,"mmm"))</f>
        <v>0</v>
      </c>
      <c r="I205">
        <f>IF(B205="","",YEAR(B205))</f>
        <v>0</v>
      </c>
      <c r="K205">
        <f>IF(B205="","",YEAR(B205)+IF(MONTH(B205)&gt;=10,1,0))</f>
        <v>0</v>
      </c>
    </row>
    <row r="206">
      <c r="A206">
        <v>202</v>
      </c>
      <c r="G206" s="5">
        <f>IF(B206="","",SUM(D206:F206))</f>
        <v>0</v>
      </c>
      <c r="H206">
        <f>IF(B206="","",TEXT(B206,"mmm"))</f>
        <v>0</v>
      </c>
      <c r="I206">
        <f>IF(B206="","",YEAR(B206))</f>
        <v>0</v>
      </c>
      <c r="K206">
        <f>IF(B206="","",YEAR(B206)+IF(MONTH(B206)&gt;=10,1,0))</f>
        <v>0</v>
      </c>
    </row>
    <row r="207">
      <c r="A207">
        <v>203</v>
      </c>
      <c r="G207" s="5">
        <f>IF(B207="","",SUM(D207:F207))</f>
        <v>0</v>
      </c>
      <c r="H207">
        <f>IF(B207="","",TEXT(B207,"mmm"))</f>
        <v>0</v>
      </c>
      <c r="I207">
        <f>IF(B207="","",YEAR(B207))</f>
        <v>0</v>
      </c>
      <c r="K207">
        <f>IF(B207="","",YEAR(B207)+IF(MONTH(B207)&gt;=10,1,0))</f>
        <v>0</v>
      </c>
    </row>
    <row r="208">
      <c r="A208">
        <v>204</v>
      </c>
      <c r="G208" s="5">
        <f>IF(B208="","",SUM(D208:F208))</f>
        <v>0</v>
      </c>
      <c r="H208">
        <f>IF(B208="","",TEXT(B208,"mmm"))</f>
        <v>0</v>
      </c>
      <c r="I208">
        <f>IF(B208="","",YEAR(B208))</f>
        <v>0</v>
      </c>
      <c r="K208">
        <f>IF(B208="","",YEAR(B208)+IF(MONTH(B208)&gt;=10,1,0))</f>
        <v>0</v>
      </c>
    </row>
    <row r="209">
      <c r="A209">
        <v>205</v>
      </c>
      <c r="G209" s="5">
        <f>IF(B209="","",SUM(D209:F209))</f>
        <v>0</v>
      </c>
      <c r="H209">
        <f>IF(B209="","",TEXT(B209,"mmm"))</f>
        <v>0</v>
      </c>
      <c r="I209">
        <f>IF(B209="","",YEAR(B209))</f>
        <v>0</v>
      </c>
      <c r="K209">
        <f>IF(B209="","",YEAR(B209)+IF(MONTH(B209)&gt;=10,1,0))</f>
        <v>0</v>
      </c>
    </row>
    <row r="210">
      <c r="A210">
        <v>206</v>
      </c>
      <c r="G210" s="5">
        <f>IF(B210="","",SUM(D210:F210))</f>
        <v>0</v>
      </c>
      <c r="H210">
        <f>IF(B210="","",TEXT(B210,"mmm"))</f>
        <v>0</v>
      </c>
      <c r="I210">
        <f>IF(B210="","",YEAR(B210))</f>
        <v>0</v>
      </c>
      <c r="K210">
        <f>IF(B210="","",YEAR(B210)+IF(MONTH(B210)&gt;=10,1,0))</f>
        <v>0</v>
      </c>
    </row>
    <row r="211">
      <c r="A211">
        <v>207</v>
      </c>
      <c r="G211" s="5">
        <f>IF(B211="","",SUM(D211:F211))</f>
        <v>0</v>
      </c>
      <c r="H211">
        <f>IF(B211="","",TEXT(B211,"mmm"))</f>
        <v>0</v>
      </c>
      <c r="I211">
        <f>IF(B211="","",YEAR(B211))</f>
        <v>0</v>
      </c>
      <c r="K211">
        <f>IF(B211="","",YEAR(B211)+IF(MONTH(B211)&gt;=10,1,0))</f>
        <v>0</v>
      </c>
    </row>
    <row r="212">
      <c r="A212">
        <v>208</v>
      </c>
      <c r="G212" s="5">
        <f>IF(B212="","",SUM(D212:F212))</f>
        <v>0</v>
      </c>
      <c r="H212">
        <f>IF(B212="","",TEXT(B212,"mmm"))</f>
        <v>0</v>
      </c>
      <c r="I212">
        <f>IF(B212="","",YEAR(B212))</f>
        <v>0</v>
      </c>
      <c r="K212">
        <f>IF(B212="","",YEAR(B212)+IF(MONTH(B212)&gt;=10,1,0))</f>
        <v>0</v>
      </c>
    </row>
    <row r="213">
      <c r="A213">
        <v>209</v>
      </c>
      <c r="G213" s="5">
        <f>IF(B213="","",SUM(D213:F213))</f>
        <v>0</v>
      </c>
      <c r="H213">
        <f>IF(B213="","",TEXT(B213,"mmm"))</f>
        <v>0</v>
      </c>
      <c r="I213">
        <f>IF(B213="","",YEAR(B213))</f>
        <v>0</v>
      </c>
      <c r="K213">
        <f>IF(B213="","",YEAR(B213)+IF(MONTH(B213)&gt;=10,1,0))</f>
        <v>0</v>
      </c>
    </row>
    <row r="214">
      <c r="A214">
        <v>210</v>
      </c>
      <c r="G214" s="5">
        <f>IF(B214="","",SUM(D214:F214))</f>
        <v>0</v>
      </c>
      <c r="H214">
        <f>IF(B214="","",TEXT(B214,"mmm"))</f>
        <v>0</v>
      </c>
      <c r="I214">
        <f>IF(B214="","",YEAR(B214))</f>
        <v>0</v>
      </c>
      <c r="K214">
        <f>IF(B214="","",YEAR(B214)+IF(MONTH(B214)&gt;=10,1,0))</f>
        <v>0</v>
      </c>
    </row>
    <row r="215">
      <c r="A215">
        <v>211</v>
      </c>
      <c r="G215" s="5">
        <f>IF(B215="","",SUM(D215:F215))</f>
        <v>0</v>
      </c>
      <c r="H215">
        <f>IF(B215="","",TEXT(B215,"mmm"))</f>
        <v>0</v>
      </c>
      <c r="I215">
        <f>IF(B215="","",YEAR(B215))</f>
        <v>0</v>
      </c>
      <c r="K215">
        <f>IF(B215="","",YEAR(B215)+IF(MONTH(B215)&gt;=10,1,0))</f>
        <v>0</v>
      </c>
    </row>
    <row r="216">
      <c r="A216">
        <v>212</v>
      </c>
      <c r="G216" s="5">
        <f>IF(B216="","",SUM(D216:F216))</f>
        <v>0</v>
      </c>
      <c r="H216">
        <f>IF(B216="","",TEXT(B216,"mmm"))</f>
        <v>0</v>
      </c>
      <c r="I216">
        <f>IF(B216="","",YEAR(B216))</f>
        <v>0</v>
      </c>
      <c r="K216">
        <f>IF(B216="","",YEAR(B216)+IF(MONTH(B216)&gt;=10,1,0))</f>
        <v>0</v>
      </c>
    </row>
    <row r="217">
      <c r="A217">
        <v>213</v>
      </c>
      <c r="G217" s="5">
        <f>IF(B217="","",SUM(D217:F217))</f>
        <v>0</v>
      </c>
      <c r="H217">
        <f>IF(B217="","",TEXT(B217,"mmm"))</f>
        <v>0</v>
      </c>
      <c r="I217">
        <f>IF(B217="","",YEAR(B217))</f>
        <v>0</v>
      </c>
      <c r="K217">
        <f>IF(B217="","",YEAR(B217)+IF(MONTH(B217)&gt;=10,1,0))</f>
        <v>0</v>
      </c>
    </row>
    <row r="218">
      <c r="A218">
        <v>214</v>
      </c>
      <c r="G218" s="5">
        <f>IF(B218="","",SUM(D218:F218))</f>
        <v>0</v>
      </c>
      <c r="H218">
        <f>IF(B218="","",TEXT(B218,"mmm"))</f>
        <v>0</v>
      </c>
      <c r="I218">
        <f>IF(B218="","",YEAR(B218))</f>
        <v>0</v>
      </c>
      <c r="K218">
        <f>IF(B218="","",YEAR(B218)+IF(MONTH(B218)&gt;=10,1,0))</f>
        <v>0</v>
      </c>
    </row>
    <row r="219">
      <c r="A219">
        <v>215</v>
      </c>
      <c r="G219" s="5">
        <f>IF(B219="","",SUM(D219:F219))</f>
        <v>0</v>
      </c>
      <c r="H219">
        <f>IF(B219="","",TEXT(B219,"mmm"))</f>
        <v>0</v>
      </c>
      <c r="I219">
        <f>IF(B219="","",YEAR(B219))</f>
        <v>0</v>
      </c>
      <c r="K219">
        <f>IF(B219="","",YEAR(B219)+IF(MONTH(B219)&gt;=10,1,0))</f>
        <v>0</v>
      </c>
    </row>
    <row r="220">
      <c r="A220">
        <v>216</v>
      </c>
      <c r="G220" s="5">
        <f>IF(B220="","",SUM(D220:F220))</f>
        <v>0</v>
      </c>
      <c r="H220">
        <f>IF(B220="","",TEXT(B220,"mmm"))</f>
        <v>0</v>
      </c>
      <c r="I220">
        <f>IF(B220="","",YEAR(B220))</f>
        <v>0</v>
      </c>
      <c r="K220">
        <f>IF(B220="","",YEAR(B220)+IF(MONTH(B220)&gt;=10,1,0))</f>
        <v>0</v>
      </c>
    </row>
    <row r="221">
      <c r="A221">
        <v>217</v>
      </c>
      <c r="G221" s="5">
        <f>IF(B221="","",SUM(D221:F221))</f>
        <v>0</v>
      </c>
      <c r="H221">
        <f>IF(B221="","",TEXT(B221,"mmm"))</f>
        <v>0</v>
      </c>
      <c r="I221">
        <f>IF(B221="","",YEAR(B221))</f>
        <v>0</v>
      </c>
      <c r="K221">
        <f>IF(B221="","",YEAR(B221)+IF(MONTH(B221)&gt;=10,1,0))</f>
        <v>0</v>
      </c>
    </row>
    <row r="222">
      <c r="A222">
        <v>218</v>
      </c>
      <c r="G222" s="5">
        <f>IF(B222="","",SUM(D222:F222))</f>
        <v>0</v>
      </c>
      <c r="H222">
        <f>IF(B222="","",TEXT(B222,"mmm"))</f>
        <v>0</v>
      </c>
      <c r="I222">
        <f>IF(B222="","",YEAR(B222))</f>
        <v>0</v>
      </c>
      <c r="K222">
        <f>IF(B222="","",YEAR(B222)+IF(MONTH(B222)&gt;=10,1,0))</f>
        <v>0</v>
      </c>
    </row>
    <row r="223">
      <c r="A223">
        <v>219</v>
      </c>
      <c r="G223" s="5">
        <f>IF(B223="","",SUM(D223:F223))</f>
        <v>0</v>
      </c>
      <c r="H223">
        <f>IF(B223="","",TEXT(B223,"mmm"))</f>
        <v>0</v>
      </c>
      <c r="I223">
        <f>IF(B223="","",YEAR(B223))</f>
        <v>0</v>
      </c>
      <c r="K223">
        <f>IF(B223="","",YEAR(B223)+IF(MONTH(B223)&gt;=10,1,0))</f>
        <v>0</v>
      </c>
    </row>
    <row r="224">
      <c r="A224">
        <v>220</v>
      </c>
      <c r="G224" s="5">
        <f>IF(B224="","",SUM(D224:F224))</f>
        <v>0</v>
      </c>
      <c r="H224">
        <f>IF(B224="","",TEXT(B224,"mmm"))</f>
        <v>0</v>
      </c>
      <c r="I224">
        <f>IF(B224="","",YEAR(B224))</f>
        <v>0</v>
      </c>
      <c r="K224">
        <f>IF(B224="","",YEAR(B224)+IF(MONTH(B224)&gt;=10,1,0))</f>
        <v>0</v>
      </c>
    </row>
    <row r="225">
      <c r="A225">
        <v>221</v>
      </c>
      <c r="G225" s="5">
        <f>IF(B225="","",SUM(D225:F225))</f>
        <v>0</v>
      </c>
      <c r="H225">
        <f>IF(B225="","",TEXT(B225,"mmm"))</f>
        <v>0</v>
      </c>
      <c r="I225">
        <f>IF(B225="","",YEAR(B225))</f>
        <v>0</v>
      </c>
      <c r="K225">
        <f>IF(B225="","",YEAR(B225)+IF(MONTH(B225)&gt;=10,1,0))</f>
        <v>0</v>
      </c>
    </row>
    <row r="226">
      <c r="A226">
        <v>222</v>
      </c>
      <c r="G226" s="5">
        <f>IF(B226="","",SUM(D226:F226))</f>
        <v>0</v>
      </c>
      <c r="H226">
        <f>IF(B226="","",TEXT(B226,"mmm"))</f>
        <v>0</v>
      </c>
      <c r="I226">
        <f>IF(B226="","",YEAR(B226))</f>
        <v>0</v>
      </c>
      <c r="K226">
        <f>IF(B226="","",YEAR(B226)+IF(MONTH(B226)&gt;=10,1,0))</f>
        <v>0</v>
      </c>
    </row>
    <row r="227">
      <c r="A227">
        <v>223</v>
      </c>
      <c r="G227" s="5">
        <f>IF(B227="","",SUM(D227:F227))</f>
        <v>0</v>
      </c>
      <c r="H227">
        <f>IF(B227="","",TEXT(B227,"mmm"))</f>
        <v>0</v>
      </c>
      <c r="I227">
        <f>IF(B227="","",YEAR(B227))</f>
        <v>0</v>
      </c>
      <c r="K227">
        <f>IF(B227="","",YEAR(B227)+IF(MONTH(B227)&gt;=10,1,0))</f>
        <v>0</v>
      </c>
    </row>
    <row r="228">
      <c r="A228">
        <v>224</v>
      </c>
      <c r="G228" s="5">
        <f>IF(B228="","",SUM(D228:F228))</f>
        <v>0</v>
      </c>
      <c r="H228">
        <f>IF(B228="","",TEXT(B228,"mmm"))</f>
        <v>0</v>
      </c>
      <c r="I228">
        <f>IF(B228="","",YEAR(B228))</f>
        <v>0</v>
      </c>
      <c r="K228">
        <f>IF(B228="","",YEAR(B228)+IF(MONTH(B228)&gt;=10,1,0))</f>
        <v>0</v>
      </c>
    </row>
    <row r="229">
      <c r="A229">
        <v>225</v>
      </c>
      <c r="G229" s="5">
        <f>IF(B229="","",SUM(D229:F229))</f>
        <v>0</v>
      </c>
      <c r="H229">
        <f>IF(B229="","",TEXT(B229,"mmm"))</f>
        <v>0</v>
      </c>
      <c r="I229">
        <f>IF(B229="","",YEAR(B229))</f>
        <v>0</v>
      </c>
      <c r="K229">
        <f>IF(B229="","",YEAR(B229)+IF(MONTH(B229)&gt;=10,1,0))</f>
        <v>0</v>
      </c>
    </row>
    <row r="230">
      <c r="A230">
        <v>226</v>
      </c>
      <c r="G230" s="5">
        <f>IF(B230="","",SUM(D230:F230))</f>
        <v>0</v>
      </c>
      <c r="H230">
        <f>IF(B230="","",TEXT(B230,"mmm"))</f>
        <v>0</v>
      </c>
      <c r="I230">
        <f>IF(B230="","",YEAR(B230))</f>
        <v>0</v>
      </c>
      <c r="K230">
        <f>IF(B230="","",YEAR(B230)+IF(MONTH(B230)&gt;=10,1,0))</f>
        <v>0</v>
      </c>
    </row>
    <row r="231">
      <c r="A231">
        <v>227</v>
      </c>
      <c r="G231" s="5">
        <f>IF(B231="","",SUM(D231:F231))</f>
        <v>0</v>
      </c>
      <c r="H231">
        <f>IF(B231="","",TEXT(B231,"mmm"))</f>
        <v>0</v>
      </c>
      <c r="I231">
        <f>IF(B231="","",YEAR(B231))</f>
        <v>0</v>
      </c>
      <c r="K231">
        <f>IF(B231="","",YEAR(B231)+IF(MONTH(B231)&gt;=10,1,0))</f>
        <v>0</v>
      </c>
    </row>
    <row r="232">
      <c r="A232">
        <v>228</v>
      </c>
      <c r="G232" s="5">
        <f>IF(B232="","",SUM(D232:F232))</f>
        <v>0</v>
      </c>
      <c r="H232">
        <f>IF(B232="","",TEXT(B232,"mmm"))</f>
        <v>0</v>
      </c>
      <c r="I232">
        <f>IF(B232="","",YEAR(B232))</f>
        <v>0</v>
      </c>
      <c r="K232">
        <f>IF(B232="","",YEAR(B232)+IF(MONTH(B232)&gt;=10,1,0))</f>
        <v>0</v>
      </c>
    </row>
    <row r="233">
      <c r="A233">
        <v>229</v>
      </c>
      <c r="G233" s="5">
        <f>IF(B233="","",SUM(D233:F233))</f>
        <v>0</v>
      </c>
      <c r="H233">
        <f>IF(B233="","",TEXT(B233,"mmm"))</f>
        <v>0</v>
      </c>
      <c r="I233">
        <f>IF(B233="","",YEAR(B233))</f>
        <v>0</v>
      </c>
      <c r="K233">
        <f>IF(B233="","",YEAR(B233)+IF(MONTH(B233)&gt;=10,1,0))</f>
        <v>0</v>
      </c>
    </row>
    <row r="234">
      <c r="A234">
        <v>230</v>
      </c>
      <c r="G234" s="5">
        <f>IF(B234="","",SUM(D234:F234))</f>
        <v>0</v>
      </c>
      <c r="H234">
        <f>IF(B234="","",TEXT(B234,"mmm"))</f>
        <v>0</v>
      </c>
      <c r="I234">
        <f>IF(B234="","",YEAR(B234))</f>
        <v>0</v>
      </c>
      <c r="K234">
        <f>IF(B234="","",YEAR(B234)+IF(MONTH(B234)&gt;=10,1,0))</f>
        <v>0</v>
      </c>
    </row>
    <row r="235">
      <c r="A235">
        <v>231</v>
      </c>
      <c r="G235" s="5">
        <f>IF(B235="","",SUM(D235:F235))</f>
        <v>0</v>
      </c>
      <c r="H235">
        <f>IF(B235="","",TEXT(B235,"mmm"))</f>
        <v>0</v>
      </c>
      <c r="I235">
        <f>IF(B235="","",YEAR(B235))</f>
        <v>0</v>
      </c>
      <c r="K235">
        <f>IF(B235="","",YEAR(B235)+IF(MONTH(B235)&gt;=10,1,0))</f>
        <v>0</v>
      </c>
    </row>
    <row r="236">
      <c r="A236">
        <v>232</v>
      </c>
      <c r="G236" s="5">
        <f>IF(B236="","",SUM(D236:F236))</f>
        <v>0</v>
      </c>
      <c r="H236">
        <f>IF(B236="","",TEXT(B236,"mmm"))</f>
        <v>0</v>
      </c>
      <c r="I236">
        <f>IF(B236="","",YEAR(B236))</f>
        <v>0</v>
      </c>
      <c r="K236">
        <f>IF(B236="","",YEAR(B236)+IF(MONTH(B236)&gt;=10,1,0))</f>
        <v>0</v>
      </c>
    </row>
    <row r="237">
      <c r="A237">
        <v>233</v>
      </c>
      <c r="G237" s="5">
        <f>IF(B237="","",SUM(D237:F237))</f>
        <v>0</v>
      </c>
      <c r="H237">
        <f>IF(B237="","",TEXT(B237,"mmm"))</f>
        <v>0</v>
      </c>
      <c r="I237">
        <f>IF(B237="","",YEAR(B237))</f>
        <v>0</v>
      </c>
      <c r="K237">
        <f>IF(B237="","",YEAR(B237)+IF(MONTH(B237)&gt;=10,1,0))</f>
        <v>0</v>
      </c>
    </row>
    <row r="238">
      <c r="A238">
        <v>234</v>
      </c>
      <c r="G238" s="5">
        <f>IF(B238="","",SUM(D238:F238))</f>
        <v>0</v>
      </c>
      <c r="H238">
        <f>IF(B238="","",TEXT(B238,"mmm"))</f>
        <v>0</v>
      </c>
      <c r="I238">
        <f>IF(B238="","",YEAR(B238))</f>
        <v>0</v>
      </c>
      <c r="K238">
        <f>IF(B238="","",YEAR(B238)+IF(MONTH(B238)&gt;=10,1,0))</f>
        <v>0</v>
      </c>
    </row>
    <row r="239">
      <c r="A239">
        <v>235</v>
      </c>
      <c r="G239" s="5">
        <f>IF(B239="","",SUM(D239:F239))</f>
        <v>0</v>
      </c>
      <c r="H239">
        <f>IF(B239="","",TEXT(B239,"mmm"))</f>
        <v>0</v>
      </c>
      <c r="I239">
        <f>IF(B239="","",YEAR(B239))</f>
        <v>0</v>
      </c>
      <c r="K239">
        <f>IF(B239="","",YEAR(B239)+IF(MONTH(B239)&gt;=10,1,0))</f>
        <v>0</v>
      </c>
    </row>
    <row r="240">
      <c r="A240">
        <v>236</v>
      </c>
      <c r="G240" s="5">
        <f>IF(B240="","",SUM(D240:F240))</f>
        <v>0</v>
      </c>
      <c r="H240">
        <f>IF(B240="","",TEXT(B240,"mmm"))</f>
        <v>0</v>
      </c>
      <c r="I240">
        <f>IF(B240="","",YEAR(B240))</f>
        <v>0</v>
      </c>
      <c r="K240">
        <f>IF(B240="","",YEAR(B240)+IF(MONTH(B240)&gt;=10,1,0))</f>
        <v>0</v>
      </c>
    </row>
    <row r="241">
      <c r="A241">
        <v>237</v>
      </c>
      <c r="G241" s="5">
        <f>IF(B241="","",SUM(D241:F241))</f>
        <v>0</v>
      </c>
      <c r="H241">
        <f>IF(B241="","",TEXT(B241,"mmm"))</f>
        <v>0</v>
      </c>
      <c r="I241">
        <f>IF(B241="","",YEAR(B241))</f>
        <v>0</v>
      </c>
      <c r="K241">
        <f>IF(B241="","",YEAR(B241)+IF(MONTH(B241)&gt;=10,1,0))</f>
        <v>0</v>
      </c>
    </row>
    <row r="242">
      <c r="A242">
        <v>238</v>
      </c>
      <c r="G242" s="5">
        <f>IF(B242="","",SUM(D242:F242))</f>
        <v>0</v>
      </c>
      <c r="H242">
        <f>IF(B242="","",TEXT(B242,"mmm"))</f>
        <v>0</v>
      </c>
      <c r="I242">
        <f>IF(B242="","",YEAR(B242))</f>
        <v>0</v>
      </c>
      <c r="K242">
        <f>IF(B242="","",YEAR(B242)+IF(MONTH(B242)&gt;=10,1,0))</f>
        <v>0</v>
      </c>
    </row>
    <row r="243">
      <c r="A243">
        <v>239</v>
      </c>
      <c r="G243" s="5">
        <f>IF(B243="","",SUM(D243:F243))</f>
        <v>0</v>
      </c>
      <c r="H243">
        <f>IF(B243="","",TEXT(B243,"mmm"))</f>
        <v>0</v>
      </c>
      <c r="I243">
        <f>IF(B243="","",YEAR(B243))</f>
        <v>0</v>
      </c>
      <c r="K243">
        <f>IF(B243="","",YEAR(B243)+IF(MONTH(B243)&gt;=10,1,0))</f>
        <v>0</v>
      </c>
    </row>
    <row r="244">
      <c r="A244">
        <v>240</v>
      </c>
      <c r="G244" s="5">
        <f>IF(B244="","",SUM(D244:F244))</f>
        <v>0</v>
      </c>
      <c r="H244">
        <f>IF(B244="","",TEXT(B244,"mmm"))</f>
        <v>0</v>
      </c>
      <c r="I244">
        <f>IF(B244="","",YEAR(B244))</f>
        <v>0</v>
      </c>
      <c r="K244">
        <f>IF(B244="","",YEAR(B244)+IF(MONTH(B244)&gt;=10,1,0))</f>
        <v>0</v>
      </c>
    </row>
    <row r="245">
      <c r="A245">
        <v>241</v>
      </c>
      <c r="G245" s="5">
        <f>IF(B245="","",SUM(D245:F245))</f>
        <v>0</v>
      </c>
      <c r="H245">
        <f>IF(B245="","",TEXT(B245,"mmm"))</f>
        <v>0</v>
      </c>
      <c r="I245">
        <f>IF(B245="","",YEAR(B245))</f>
        <v>0</v>
      </c>
      <c r="K245">
        <f>IF(B245="","",YEAR(B245)+IF(MONTH(B245)&gt;=10,1,0))</f>
        <v>0</v>
      </c>
    </row>
    <row r="246">
      <c r="A246">
        <v>242</v>
      </c>
      <c r="G246" s="5">
        <f>IF(B246="","",SUM(D246:F246))</f>
        <v>0</v>
      </c>
      <c r="H246">
        <f>IF(B246="","",TEXT(B246,"mmm"))</f>
        <v>0</v>
      </c>
      <c r="I246">
        <f>IF(B246="","",YEAR(B246))</f>
        <v>0</v>
      </c>
      <c r="K246">
        <f>IF(B246="","",YEAR(B246)+IF(MONTH(B246)&gt;=10,1,0))</f>
        <v>0</v>
      </c>
    </row>
    <row r="247">
      <c r="A247">
        <v>243</v>
      </c>
      <c r="G247" s="5">
        <f>IF(B247="","",SUM(D247:F247))</f>
        <v>0</v>
      </c>
      <c r="H247">
        <f>IF(B247="","",TEXT(B247,"mmm"))</f>
        <v>0</v>
      </c>
      <c r="I247">
        <f>IF(B247="","",YEAR(B247))</f>
        <v>0</v>
      </c>
      <c r="K247">
        <f>IF(B247="","",YEAR(B247)+IF(MONTH(B247)&gt;=10,1,0))</f>
        <v>0</v>
      </c>
    </row>
    <row r="248">
      <c r="A248">
        <v>244</v>
      </c>
      <c r="G248" s="5">
        <f>IF(B248="","",SUM(D248:F248))</f>
        <v>0</v>
      </c>
      <c r="H248">
        <f>IF(B248="","",TEXT(B248,"mmm"))</f>
        <v>0</v>
      </c>
      <c r="I248">
        <f>IF(B248="","",YEAR(B248))</f>
        <v>0</v>
      </c>
      <c r="K248">
        <f>IF(B248="","",YEAR(B248)+IF(MONTH(B248)&gt;=10,1,0))</f>
        <v>0</v>
      </c>
    </row>
    <row r="249">
      <c r="A249">
        <v>245</v>
      </c>
      <c r="G249" s="5">
        <f>IF(B249="","",SUM(D249:F249))</f>
        <v>0</v>
      </c>
      <c r="H249">
        <f>IF(B249="","",TEXT(B249,"mmm"))</f>
        <v>0</v>
      </c>
      <c r="I249">
        <f>IF(B249="","",YEAR(B249))</f>
        <v>0</v>
      </c>
      <c r="K249">
        <f>IF(B249="","",YEAR(B249)+IF(MONTH(B249)&gt;=10,1,0))</f>
        <v>0</v>
      </c>
    </row>
    <row r="250">
      <c r="A250">
        <v>246</v>
      </c>
      <c r="G250" s="5">
        <f>IF(B250="","",SUM(D250:F250))</f>
        <v>0</v>
      </c>
      <c r="H250">
        <f>IF(B250="","",TEXT(B250,"mmm"))</f>
        <v>0</v>
      </c>
      <c r="I250">
        <f>IF(B250="","",YEAR(B250))</f>
        <v>0</v>
      </c>
      <c r="K250">
        <f>IF(B250="","",YEAR(B250)+IF(MONTH(B250)&gt;=10,1,0))</f>
        <v>0</v>
      </c>
    </row>
    <row r="251">
      <c r="A251">
        <v>247</v>
      </c>
      <c r="G251" s="5">
        <f>IF(B251="","",SUM(D251:F251))</f>
        <v>0</v>
      </c>
      <c r="H251">
        <f>IF(B251="","",TEXT(B251,"mmm"))</f>
        <v>0</v>
      </c>
      <c r="I251">
        <f>IF(B251="","",YEAR(B251))</f>
        <v>0</v>
      </c>
      <c r="K251">
        <f>IF(B251="","",YEAR(B251)+IF(MONTH(B251)&gt;=10,1,0))</f>
        <v>0</v>
      </c>
    </row>
    <row r="252">
      <c r="A252">
        <v>248</v>
      </c>
      <c r="G252" s="5">
        <f>IF(B252="","",SUM(D252:F252))</f>
        <v>0</v>
      </c>
      <c r="H252">
        <f>IF(B252="","",TEXT(B252,"mmm"))</f>
        <v>0</v>
      </c>
      <c r="I252">
        <f>IF(B252="","",YEAR(B252))</f>
        <v>0</v>
      </c>
      <c r="K252">
        <f>IF(B252="","",YEAR(B252)+IF(MONTH(B252)&gt;=10,1,0))</f>
        <v>0</v>
      </c>
    </row>
    <row r="253">
      <c r="A253">
        <v>249</v>
      </c>
      <c r="G253" s="5">
        <f>IF(B253="","",SUM(D253:F253))</f>
        <v>0</v>
      </c>
      <c r="H253">
        <f>IF(B253="","",TEXT(B253,"mmm"))</f>
        <v>0</v>
      </c>
      <c r="I253">
        <f>IF(B253="","",YEAR(B253))</f>
        <v>0</v>
      </c>
      <c r="K253">
        <f>IF(B253="","",YEAR(B253)+IF(MONTH(B253)&gt;=10,1,0))</f>
        <v>0</v>
      </c>
    </row>
    <row r="254">
      <c r="A254">
        <v>250</v>
      </c>
      <c r="G254" s="5">
        <f>IF(B254="","",SUM(D254:F254))</f>
        <v>0</v>
      </c>
      <c r="H254">
        <f>IF(B254="","",TEXT(B254,"mmm"))</f>
        <v>0</v>
      </c>
      <c r="I254">
        <f>IF(B254="","",YEAR(B254))</f>
        <v>0</v>
      </c>
      <c r="K254">
        <f>IF(B254="","",YEAR(B254)+IF(MONTH(B254)&gt;=10,1,0))</f>
        <v>0</v>
      </c>
    </row>
    <row r="255">
      <c r="A255">
        <v>251</v>
      </c>
      <c r="G255" s="5">
        <f>IF(B255="","",SUM(D255:F255))</f>
        <v>0</v>
      </c>
      <c r="H255">
        <f>IF(B255="","",TEXT(B255,"mmm"))</f>
        <v>0</v>
      </c>
      <c r="I255">
        <f>IF(B255="","",YEAR(B255))</f>
        <v>0</v>
      </c>
      <c r="K255">
        <f>IF(B255="","",YEAR(B255)+IF(MONTH(B255)&gt;=10,1,0))</f>
        <v>0</v>
      </c>
    </row>
    <row r="256">
      <c r="A256">
        <v>252</v>
      </c>
      <c r="G256" s="5">
        <f>IF(B256="","",SUM(D256:F256))</f>
        <v>0</v>
      </c>
      <c r="H256">
        <f>IF(B256="","",TEXT(B256,"mmm"))</f>
        <v>0</v>
      </c>
      <c r="I256">
        <f>IF(B256="","",YEAR(B256))</f>
        <v>0</v>
      </c>
      <c r="K256">
        <f>IF(B256="","",YEAR(B256)+IF(MONTH(B256)&gt;=10,1,0))</f>
        <v>0</v>
      </c>
    </row>
    <row r="257">
      <c r="A257">
        <v>253</v>
      </c>
      <c r="G257" s="5">
        <f>IF(B257="","",SUM(D257:F257))</f>
        <v>0</v>
      </c>
      <c r="H257">
        <f>IF(B257="","",TEXT(B257,"mmm"))</f>
        <v>0</v>
      </c>
      <c r="I257">
        <f>IF(B257="","",YEAR(B257))</f>
        <v>0</v>
      </c>
      <c r="K257">
        <f>IF(B257="","",YEAR(B257)+IF(MONTH(B257)&gt;=10,1,0))</f>
        <v>0</v>
      </c>
    </row>
    <row r="258">
      <c r="A258">
        <v>254</v>
      </c>
      <c r="G258" s="5">
        <f>IF(B258="","",SUM(D258:F258))</f>
        <v>0</v>
      </c>
      <c r="H258">
        <f>IF(B258="","",TEXT(B258,"mmm"))</f>
        <v>0</v>
      </c>
      <c r="I258">
        <f>IF(B258="","",YEAR(B258))</f>
        <v>0</v>
      </c>
      <c r="K258">
        <f>IF(B258="","",YEAR(B258)+IF(MONTH(B258)&gt;=10,1,0))</f>
        <v>0</v>
      </c>
    </row>
    <row r="259">
      <c r="A259">
        <v>255</v>
      </c>
      <c r="G259" s="5">
        <f>IF(B259="","",SUM(D259:F259))</f>
        <v>0</v>
      </c>
      <c r="H259">
        <f>IF(B259="","",TEXT(B259,"mmm"))</f>
        <v>0</v>
      </c>
      <c r="I259">
        <f>IF(B259="","",YEAR(B259))</f>
        <v>0</v>
      </c>
      <c r="K259">
        <f>IF(B259="","",YEAR(B259)+IF(MONTH(B259)&gt;=10,1,0))</f>
        <v>0</v>
      </c>
    </row>
    <row r="260">
      <c r="A260">
        <v>256</v>
      </c>
      <c r="G260" s="5">
        <f>IF(B260="","",SUM(D260:F260))</f>
        <v>0</v>
      </c>
      <c r="H260">
        <f>IF(B260="","",TEXT(B260,"mmm"))</f>
        <v>0</v>
      </c>
      <c r="I260">
        <f>IF(B260="","",YEAR(B260))</f>
        <v>0</v>
      </c>
      <c r="K260">
        <f>IF(B260="","",YEAR(B260)+IF(MONTH(B260)&gt;=10,1,0))</f>
        <v>0</v>
      </c>
    </row>
    <row r="261">
      <c r="A261">
        <v>257</v>
      </c>
      <c r="G261" s="5">
        <f>IF(B261="","",SUM(D261:F261))</f>
        <v>0</v>
      </c>
      <c r="H261">
        <f>IF(B261="","",TEXT(B261,"mmm"))</f>
        <v>0</v>
      </c>
      <c r="I261">
        <f>IF(B261="","",YEAR(B261))</f>
        <v>0</v>
      </c>
      <c r="K261">
        <f>IF(B261="","",YEAR(B261)+IF(MONTH(B261)&gt;=10,1,0))</f>
        <v>0</v>
      </c>
    </row>
    <row r="262">
      <c r="A262">
        <v>258</v>
      </c>
      <c r="G262" s="5">
        <f>IF(B262="","",SUM(D262:F262))</f>
        <v>0</v>
      </c>
      <c r="H262">
        <f>IF(B262="","",TEXT(B262,"mmm"))</f>
        <v>0</v>
      </c>
      <c r="I262">
        <f>IF(B262="","",YEAR(B262))</f>
        <v>0</v>
      </c>
      <c r="K262">
        <f>IF(B262="","",YEAR(B262)+IF(MONTH(B262)&gt;=10,1,0))</f>
        <v>0</v>
      </c>
    </row>
    <row r="263">
      <c r="A263">
        <v>259</v>
      </c>
      <c r="G263" s="5">
        <f>IF(B263="","",SUM(D263:F263))</f>
        <v>0</v>
      </c>
      <c r="H263">
        <f>IF(B263="","",TEXT(B263,"mmm"))</f>
        <v>0</v>
      </c>
      <c r="I263">
        <f>IF(B263="","",YEAR(B263))</f>
        <v>0</v>
      </c>
      <c r="K263">
        <f>IF(B263="","",YEAR(B263)+IF(MONTH(B263)&gt;=10,1,0))</f>
        <v>0</v>
      </c>
    </row>
    <row r="264">
      <c r="A264">
        <v>260</v>
      </c>
      <c r="G264" s="5">
        <f>IF(B264="","",SUM(D264:F264))</f>
        <v>0</v>
      </c>
      <c r="H264">
        <f>IF(B264="","",TEXT(B264,"mmm"))</f>
        <v>0</v>
      </c>
      <c r="I264">
        <f>IF(B264="","",YEAR(B264))</f>
        <v>0</v>
      </c>
      <c r="K264">
        <f>IF(B264="","",YEAR(B264)+IF(MONTH(B264)&gt;=10,1,0))</f>
        <v>0</v>
      </c>
    </row>
    <row r="265">
      <c r="A265">
        <v>261</v>
      </c>
      <c r="G265" s="5">
        <f>IF(B265="","",SUM(D265:F265))</f>
        <v>0</v>
      </c>
      <c r="H265">
        <f>IF(B265="","",TEXT(B265,"mmm"))</f>
        <v>0</v>
      </c>
      <c r="I265">
        <f>IF(B265="","",YEAR(B265))</f>
        <v>0</v>
      </c>
      <c r="K265">
        <f>IF(B265="","",YEAR(B265)+IF(MONTH(B265)&gt;=10,1,0))</f>
        <v>0</v>
      </c>
    </row>
    <row r="266">
      <c r="A266">
        <v>262</v>
      </c>
      <c r="G266" s="5">
        <f>IF(B266="","",SUM(D266:F266))</f>
        <v>0</v>
      </c>
      <c r="H266">
        <f>IF(B266="","",TEXT(B266,"mmm"))</f>
        <v>0</v>
      </c>
      <c r="I266">
        <f>IF(B266="","",YEAR(B266))</f>
        <v>0</v>
      </c>
      <c r="K266">
        <f>IF(B266="","",YEAR(B266)+IF(MONTH(B266)&gt;=10,1,0))</f>
        <v>0</v>
      </c>
    </row>
    <row r="267">
      <c r="A267">
        <v>263</v>
      </c>
      <c r="G267" s="5">
        <f>IF(B267="","",SUM(D267:F267))</f>
        <v>0</v>
      </c>
      <c r="H267">
        <f>IF(B267="","",TEXT(B267,"mmm"))</f>
        <v>0</v>
      </c>
      <c r="I267">
        <f>IF(B267="","",YEAR(B267))</f>
        <v>0</v>
      </c>
      <c r="K267">
        <f>IF(B267="","",YEAR(B267)+IF(MONTH(B267)&gt;=10,1,0))</f>
        <v>0</v>
      </c>
    </row>
    <row r="268">
      <c r="A268">
        <v>264</v>
      </c>
      <c r="G268" s="5">
        <f>IF(B268="","",SUM(D268:F268))</f>
        <v>0</v>
      </c>
      <c r="H268">
        <f>IF(B268="","",TEXT(B268,"mmm"))</f>
        <v>0</v>
      </c>
      <c r="I268">
        <f>IF(B268="","",YEAR(B268))</f>
        <v>0</v>
      </c>
      <c r="K268">
        <f>IF(B268="","",YEAR(B268)+IF(MONTH(B268)&gt;=10,1,0))</f>
        <v>0</v>
      </c>
    </row>
    <row r="269">
      <c r="A269">
        <v>265</v>
      </c>
      <c r="G269" s="5">
        <f>IF(B269="","",SUM(D269:F269))</f>
        <v>0</v>
      </c>
      <c r="H269">
        <f>IF(B269="","",TEXT(B269,"mmm"))</f>
        <v>0</v>
      </c>
      <c r="I269">
        <f>IF(B269="","",YEAR(B269))</f>
        <v>0</v>
      </c>
      <c r="K269">
        <f>IF(B269="","",YEAR(B269)+IF(MONTH(B269)&gt;=10,1,0))</f>
        <v>0</v>
      </c>
    </row>
    <row r="270">
      <c r="A270">
        <v>266</v>
      </c>
      <c r="G270" s="5">
        <f>IF(B270="","",SUM(D270:F270))</f>
        <v>0</v>
      </c>
      <c r="H270">
        <f>IF(B270="","",TEXT(B270,"mmm"))</f>
        <v>0</v>
      </c>
      <c r="I270">
        <f>IF(B270="","",YEAR(B270))</f>
        <v>0</v>
      </c>
      <c r="K270">
        <f>IF(B270="","",YEAR(B270)+IF(MONTH(B270)&gt;=10,1,0))</f>
        <v>0</v>
      </c>
    </row>
    <row r="271">
      <c r="A271">
        <v>267</v>
      </c>
      <c r="G271" s="5">
        <f>IF(B271="","",SUM(D271:F271))</f>
        <v>0</v>
      </c>
      <c r="H271">
        <f>IF(B271="","",TEXT(B271,"mmm"))</f>
        <v>0</v>
      </c>
      <c r="I271">
        <f>IF(B271="","",YEAR(B271))</f>
        <v>0</v>
      </c>
      <c r="K271">
        <f>IF(B271="","",YEAR(B271)+IF(MONTH(B271)&gt;=10,1,0))</f>
        <v>0</v>
      </c>
    </row>
    <row r="272">
      <c r="A272">
        <v>268</v>
      </c>
      <c r="G272" s="5">
        <f>IF(B272="","",SUM(D272:F272))</f>
        <v>0</v>
      </c>
      <c r="H272">
        <f>IF(B272="","",TEXT(B272,"mmm"))</f>
        <v>0</v>
      </c>
      <c r="I272">
        <f>IF(B272="","",YEAR(B272))</f>
        <v>0</v>
      </c>
      <c r="K272">
        <f>IF(B272="","",YEAR(B272)+IF(MONTH(B272)&gt;=10,1,0))</f>
        <v>0</v>
      </c>
    </row>
    <row r="273">
      <c r="A273">
        <v>269</v>
      </c>
      <c r="G273" s="5">
        <f>IF(B273="","",SUM(D273:F273))</f>
        <v>0</v>
      </c>
      <c r="H273">
        <f>IF(B273="","",TEXT(B273,"mmm"))</f>
        <v>0</v>
      </c>
      <c r="I273">
        <f>IF(B273="","",YEAR(B273))</f>
        <v>0</v>
      </c>
      <c r="K273">
        <f>IF(B273="","",YEAR(B273)+IF(MONTH(B273)&gt;=10,1,0))</f>
        <v>0</v>
      </c>
    </row>
    <row r="274">
      <c r="A274">
        <v>270</v>
      </c>
      <c r="G274" s="5">
        <f>IF(B274="","",SUM(D274:F274))</f>
        <v>0</v>
      </c>
      <c r="H274">
        <f>IF(B274="","",TEXT(B274,"mmm"))</f>
        <v>0</v>
      </c>
      <c r="I274">
        <f>IF(B274="","",YEAR(B274))</f>
        <v>0</v>
      </c>
      <c r="K274">
        <f>IF(B274="","",YEAR(B274)+IF(MONTH(B274)&gt;=10,1,0))</f>
        <v>0</v>
      </c>
    </row>
    <row r="275">
      <c r="A275">
        <v>271</v>
      </c>
      <c r="G275" s="5">
        <f>IF(B275="","",SUM(D275:F275))</f>
        <v>0</v>
      </c>
      <c r="H275">
        <f>IF(B275="","",TEXT(B275,"mmm"))</f>
        <v>0</v>
      </c>
      <c r="I275">
        <f>IF(B275="","",YEAR(B275))</f>
        <v>0</v>
      </c>
      <c r="K275">
        <f>IF(B275="","",YEAR(B275)+IF(MONTH(B275)&gt;=10,1,0))</f>
        <v>0</v>
      </c>
    </row>
    <row r="276">
      <c r="A276">
        <v>272</v>
      </c>
      <c r="G276" s="5">
        <f>IF(B276="","",SUM(D276:F276))</f>
        <v>0</v>
      </c>
      <c r="H276">
        <f>IF(B276="","",TEXT(B276,"mmm"))</f>
        <v>0</v>
      </c>
      <c r="I276">
        <f>IF(B276="","",YEAR(B276))</f>
        <v>0</v>
      </c>
      <c r="K276">
        <f>IF(B276="","",YEAR(B276)+IF(MONTH(B276)&gt;=10,1,0))</f>
        <v>0</v>
      </c>
    </row>
    <row r="277">
      <c r="A277">
        <v>273</v>
      </c>
      <c r="G277" s="5">
        <f>IF(B277="","",SUM(D277:F277))</f>
        <v>0</v>
      </c>
      <c r="H277">
        <f>IF(B277="","",TEXT(B277,"mmm"))</f>
        <v>0</v>
      </c>
      <c r="I277">
        <f>IF(B277="","",YEAR(B277))</f>
        <v>0</v>
      </c>
      <c r="K277">
        <f>IF(B277="","",YEAR(B277)+IF(MONTH(B277)&gt;=10,1,0))</f>
        <v>0</v>
      </c>
    </row>
    <row r="278">
      <c r="A278">
        <v>274</v>
      </c>
      <c r="G278" s="5">
        <f>IF(B278="","",SUM(D278:F278))</f>
        <v>0</v>
      </c>
      <c r="H278">
        <f>IF(B278="","",TEXT(B278,"mmm"))</f>
        <v>0</v>
      </c>
      <c r="I278">
        <f>IF(B278="","",YEAR(B278))</f>
        <v>0</v>
      </c>
      <c r="K278">
        <f>IF(B278="","",YEAR(B278)+IF(MONTH(B278)&gt;=10,1,0))</f>
        <v>0</v>
      </c>
    </row>
    <row r="279">
      <c r="A279">
        <v>275</v>
      </c>
      <c r="G279" s="5">
        <f>IF(B279="","",SUM(D279:F279))</f>
        <v>0</v>
      </c>
      <c r="H279">
        <f>IF(B279="","",TEXT(B279,"mmm"))</f>
        <v>0</v>
      </c>
      <c r="I279">
        <f>IF(B279="","",YEAR(B279))</f>
        <v>0</v>
      </c>
      <c r="K279">
        <f>IF(B279="","",YEAR(B279)+IF(MONTH(B279)&gt;=10,1,0))</f>
        <v>0</v>
      </c>
    </row>
    <row r="280">
      <c r="A280">
        <v>276</v>
      </c>
      <c r="G280" s="5">
        <f>IF(B280="","",SUM(D280:F280))</f>
        <v>0</v>
      </c>
      <c r="H280">
        <f>IF(B280="","",TEXT(B280,"mmm"))</f>
        <v>0</v>
      </c>
      <c r="I280">
        <f>IF(B280="","",YEAR(B280))</f>
        <v>0</v>
      </c>
      <c r="K280">
        <f>IF(B280="","",YEAR(B280)+IF(MONTH(B280)&gt;=10,1,0))</f>
        <v>0</v>
      </c>
    </row>
    <row r="281">
      <c r="A281">
        <v>277</v>
      </c>
      <c r="G281" s="5">
        <f>IF(B281="","",SUM(D281:F281))</f>
        <v>0</v>
      </c>
      <c r="H281">
        <f>IF(B281="","",TEXT(B281,"mmm"))</f>
        <v>0</v>
      </c>
      <c r="I281">
        <f>IF(B281="","",YEAR(B281))</f>
        <v>0</v>
      </c>
      <c r="K281">
        <f>IF(B281="","",YEAR(B281)+IF(MONTH(B281)&gt;=10,1,0))</f>
        <v>0</v>
      </c>
    </row>
    <row r="282">
      <c r="A282">
        <v>278</v>
      </c>
      <c r="G282" s="5">
        <f>IF(B282="","",SUM(D282:F282))</f>
        <v>0</v>
      </c>
      <c r="H282">
        <f>IF(B282="","",TEXT(B282,"mmm"))</f>
        <v>0</v>
      </c>
      <c r="I282">
        <f>IF(B282="","",YEAR(B282))</f>
        <v>0</v>
      </c>
      <c r="K282">
        <f>IF(B282="","",YEAR(B282)+IF(MONTH(B282)&gt;=10,1,0))</f>
        <v>0</v>
      </c>
    </row>
    <row r="283">
      <c r="A283">
        <v>279</v>
      </c>
      <c r="G283" s="5">
        <f>IF(B283="","",SUM(D283:F283))</f>
        <v>0</v>
      </c>
      <c r="H283">
        <f>IF(B283="","",TEXT(B283,"mmm"))</f>
        <v>0</v>
      </c>
      <c r="I283">
        <f>IF(B283="","",YEAR(B283))</f>
        <v>0</v>
      </c>
      <c r="K283">
        <f>IF(B283="","",YEAR(B283)+IF(MONTH(B283)&gt;=10,1,0))</f>
        <v>0</v>
      </c>
    </row>
    <row r="284">
      <c r="A284">
        <v>280</v>
      </c>
      <c r="G284" s="5">
        <f>IF(B284="","",SUM(D284:F284))</f>
        <v>0</v>
      </c>
      <c r="H284">
        <f>IF(B284="","",TEXT(B284,"mmm"))</f>
        <v>0</v>
      </c>
      <c r="I284">
        <f>IF(B284="","",YEAR(B284))</f>
        <v>0</v>
      </c>
      <c r="K284">
        <f>IF(B284="","",YEAR(B284)+IF(MONTH(B284)&gt;=10,1,0))</f>
        <v>0</v>
      </c>
    </row>
    <row r="285">
      <c r="A285">
        <v>281</v>
      </c>
      <c r="G285" s="5">
        <f>IF(B285="","",SUM(D285:F285))</f>
        <v>0</v>
      </c>
      <c r="H285">
        <f>IF(B285="","",TEXT(B285,"mmm"))</f>
        <v>0</v>
      </c>
      <c r="I285">
        <f>IF(B285="","",YEAR(B285))</f>
        <v>0</v>
      </c>
      <c r="K285">
        <f>IF(B285="","",YEAR(B285)+IF(MONTH(B285)&gt;=10,1,0))</f>
        <v>0</v>
      </c>
    </row>
    <row r="286">
      <c r="A286">
        <v>282</v>
      </c>
      <c r="G286" s="5">
        <f>IF(B286="","",SUM(D286:F286))</f>
        <v>0</v>
      </c>
      <c r="H286">
        <f>IF(B286="","",TEXT(B286,"mmm"))</f>
        <v>0</v>
      </c>
      <c r="I286">
        <f>IF(B286="","",YEAR(B286))</f>
        <v>0</v>
      </c>
      <c r="K286">
        <f>IF(B286="","",YEAR(B286)+IF(MONTH(B286)&gt;=10,1,0))</f>
        <v>0</v>
      </c>
    </row>
    <row r="287">
      <c r="A287">
        <v>283</v>
      </c>
      <c r="G287" s="5">
        <f>IF(B287="","",SUM(D287:F287))</f>
        <v>0</v>
      </c>
      <c r="H287">
        <f>IF(B287="","",TEXT(B287,"mmm"))</f>
        <v>0</v>
      </c>
      <c r="I287">
        <f>IF(B287="","",YEAR(B287))</f>
        <v>0</v>
      </c>
      <c r="K287">
        <f>IF(B287="","",YEAR(B287)+IF(MONTH(B287)&gt;=10,1,0))</f>
        <v>0</v>
      </c>
    </row>
    <row r="288">
      <c r="A288">
        <v>284</v>
      </c>
      <c r="G288" s="5">
        <f>IF(B288="","",SUM(D288:F288))</f>
        <v>0</v>
      </c>
      <c r="H288">
        <f>IF(B288="","",TEXT(B288,"mmm"))</f>
        <v>0</v>
      </c>
      <c r="I288">
        <f>IF(B288="","",YEAR(B288))</f>
        <v>0</v>
      </c>
      <c r="K288">
        <f>IF(B288="","",YEAR(B288)+IF(MONTH(B288)&gt;=10,1,0))</f>
        <v>0</v>
      </c>
    </row>
    <row r="289">
      <c r="A289">
        <v>285</v>
      </c>
      <c r="G289" s="5">
        <f>IF(B289="","",SUM(D289:F289))</f>
        <v>0</v>
      </c>
      <c r="H289">
        <f>IF(B289="","",TEXT(B289,"mmm"))</f>
        <v>0</v>
      </c>
      <c r="I289">
        <f>IF(B289="","",YEAR(B289))</f>
        <v>0</v>
      </c>
      <c r="K289">
        <f>IF(B289="","",YEAR(B289)+IF(MONTH(B289)&gt;=10,1,0))</f>
        <v>0</v>
      </c>
    </row>
    <row r="290">
      <c r="A290">
        <v>286</v>
      </c>
      <c r="G290" s="5">
        <f>IF(B290="","",SUM(D290:F290))</f>
        <v>0</v>
      </c>
      <c r="H290">
        <f>IF(B290="","",TEXT(B290,"mmm"))</f>
        <v>0</v>
      </c>
      <c r="I290">
        <f>IF(B290="","",YEAR(B290))</f>
        <v>0</v>
      </c>
      <c r="K290">
        <f>IF(B290="","",YEAR(B290)+IF(MONTH(B290)&gt;=10,1,0))</f>
        <v>0</v>
      </c>
    </row>
    <row r="291">
      <c r="A291">
        <v>287</v>
      </c>
      <c r="G291" s="5">
        <f>IF(B291="","",SUM(D291:F291))</f>
        <v>0</v>
      </c>
      <c r="H291">
        <f>IF(B291="","",TEXT(B291,"mmm"))</f>
        <v>0</v>
      </c>
      <c r="I291">
        <f>IF(B291="","",YEAR(B291))</f>
        <v>0</v>
      </c>
      <c r="K291">
        <f>IF(B291="","",YEAR(B291)+IF(MONTH(B291)&gt;=10,1,0))</f>
        <v>0</v>
      </c>
    </row>
    <row r="292">
      <c r="A292">
        <v>288</v>
      </c>
      <c r="G292" s="5">
        <f>IF(B292="","",SUM(D292:F292))</f>
        <v>0</v>
      </c>
      <c r="H292">
        <f>IF(B292="","",TEXT(B292,"mmm"))</f>
        <v>0</v>
      </c>
      <c r="I292">
        <f>IF(B292="","",YEAR(B292))</f>
        <v>0</v>
      </c>
      <c r="K292">
        <f>IF(B292="","",YEAR(B292)+IF(MONTH(B292)&gt;=10,1,0))</f>
        <v>0</v>
      </c>
    </row>
    <row r="293">
      <c r="A293">
        <v>289</v>
      </c>
      <c r="G293" s="5">
        <f>IF(B293="","",SUM(D293:F293))</f>
        <v>0</v>
      </c>
      <c r="H293">
        <f>IF(B293="","",TEXT(B293,"mmm"))</f>
        <v>0</v>
      </c>
      <c r="I293">
        <f>IF(B293="","",YEAR(B293))</f>
        <v>0</v>
      </c>
      <c r="K293">
        <f>IF(B293="","",YEAR(B293)+IF(MONTH(B293)&gt;=10,1,0))</f>
        <v>0</v>
      </c>
    </row>
    <row r="294">
      <c r="A294">
        <v>290</v>
      </c>
      <c r="G294" s="5">
        <f>IF(B294="","",SUM(D294:F294))</f>
        <v>0</v>
      </c>
      <c r="H294">
        <f>IF(B294="","",TEXT(B294,"mmm"))</f>
        <v>0</v>
      </c>
      <c r="I294">
        <f>IF(B294="","",YEAR(B294))</f>
        <v>0</v>
      </c>
      <c r="K294">
        <f>IF(B294="","",YEAR(B294)+IF(MONTH(B294)&gt;=10,1,0))</f>
        <v>0</v>
      </c>
    </row>
    <row r="295">
      <c r="A295">
        <v>291</v>
      </c>
      <c r="G295" s="5">
        <f>IF(B295="","",SUM(D295:F295))</f>
        <v>0</v>
      </c>
      <c r="H295">
        <f>IF(B295="","",TEXT(B295,"mmm"))</f>
        <v>0</v>
      </c>
      <c r="I295">
        <f>IF(B295="","",YEAR(B295))</f>
        <v>0</v>
      </c>
      <c r="K295">
        <f>IF(B295="","",YEAR(B295)+IF(MONTH(B295)&gt;=10,1,0))</f>
        <v>0</v>
      </c>
    </row>
    <row r="296">
      <c r="A296">
        <v>292</v>
      </c>
      <c r="G296" s="5">
        <f>IF(B296="","",SUM(D296:F296))</f>
        <v>0</v>
      </c>
      <c r="H296">
        <f>IF(B296="","",TEXT(B296,"mmm"))</f>
        <v>0</v>
      </c>
      <c r="I296">
        <f>IF(B296="","",YEAR(B296))</f>
        <v>0</v>
      </c>
      <c r="K296">
        <f>IF(B296="","",YEAR(B296)+IF(MONTH(B296)&gt;=10,1,0))</f>
        <v>0</v>
      </c>
    </row>
    <row r="297">
      <c r="A297">
        <v>293</v>
      </c>
      <c r="G297" s="5">
        <f>IF(B297="","",SUM(D297:F297))</f>
        <v>0</v>
      </c>
      <c r="H297">
        <f>IF(B297="","",TEXT(B297,"mmm"))</f>
        <v>0</v>
      </c>
      <c r="I297">
        <f>IF(B297="","",YEAR(B297))</f>
        <v>0</v>
      </c>
      <c r="K297">
        <f>IF(B297="","",YEAR(B297)+IF(MONTH(B297)&gt;=10,1,0))</f>
        <v>0</v>
      </c>
    </row>
    <row r="298">
      <c r="A298">
        <v>294</v>
      </c>
      <c r="G298" s="5">
        <f>IF(B298="","",SUM(D298:F298))</f>
        <v>0</v>
      </c>
      <c r="H298">
        <f>IF(B298="","",TEXT(B298,"mmm"))</f>
        <v>0</v>
      </c>
      <c r="I298">
        <f>IF(B298="","",YEAR(B298))</f>
        <v>0</v>
      </c>
      <c r="K298">
        <f>IF(B298="","",YEAR(B298)+IF(MONTH(B298)&gt;=10,1,0))</f>
        <v>0</v>
      </c>
    </row>
    <row r="299">
      <c r="A299">
        <v>295</v>
      </c>
      <c r="G299" s="5">
        <f>IF(B299="","",SUM(D299:F299))</f>
        <v>0</v>
      </c>
      <c r="H299">
        <f>IF(B299="","",TEXT(B299,"mmm"))</f>
        <v>0</v>
      </c>
      <c r="I299">
        <f>IF(B299="","",YEAR(B299))</f>
        <v>0</v>
      </c>
      <c r="K299">
        <f>IF(B299="","",YEAR(B299)+IF(MONTH(B299)&gt;=10,1,0))</f>
        <v>0</v>
      </c>
    </row>
    <row r="300">
      <c r="A300">
        <v>296</v>
      </c>
      <c r="G300" s="5">
        <f>IF(B300="","",SUM(D300:F300))</f>
        <v>0</v>
      </c>
      <c r="H300">
        <f>IF(B300="","",TEXT(B300,"mmm"))</f>
        <v>0</v>
      </c>
      <c r="I300">
        <f>IF(B300="","",YEAR(B300))</f>
        <v>0</v>
      </c>
      <c r="K300">
        <f>IF(B300="","",YEAR(B300)+IF(MONTH(B300)&gt;=10,1,0))</f>
        <v>0</v>
      </c>
    </row>
    <row r="301">
      <c r="A301">
        <v>297</v>
      </c>
      <c r="G301" s="5">
        <f>IF(B301="","",SUM(D301:F301))</f>
        <v>0</v>
      </c>
      <c r="H301">
        <f>IF(B301="","",TEXT(B301,"mmm"))</f>
        <v>0</v>
      </c>
      <c r="I301">
        <f>IF(B301="","",YEAR(B301))</f>
        <v>0</v>
      </c>
      <c r="K301">
        <f>IF(B301="","",YEAR(B301)+IF(MONTH(B301)&gt;=10,1,0))</f>
        <v>0</v>
      </c>
    </row>
    <row r="302">
      <c r="A302">
        <v>298</v>
      </c>
      <c r="G302" s="5">
        <f>IF(B302="","",SUM(D302:F302))</f>
        <v>0</v>
      </c>
      <c r="H302">
        <f>IF(B302="","",TEXT(B302,"mmm"))</f>
        <v>0</v>
      </c>
      <c r="I302">
        <f>IF(B302="","",YEAR(B302))</f>
        <v>0</v>
      </c>
      <c r="K302">
        <f>IF(B302="","",YEAR(B302)+IF(MONTH(B302)&gt;=10,1,0))</f>
        <v>0</v>
      </c>
    </row>
    <row r="303">
      <c r="A303">
        <v>299</v>
      </c>
      <c r="G303" s="5">
        <f>IF(B303="","",SUM(D303:F303))</f>
        <v>0</v>
      </c>
      <c r="H303">
        <f>IF(B303="","",TEXT(B303,"mmm"))</f>
        <v>0</v>
      </c>
      <c r="I303">
        <f>IF(B303="","",YEAR(B303))</f>
        <v>0</v>
      </c>
      <c r="K303">
        <f>IF(B303="","",YEAR(B303)+IF(MONTH(B303)&gt;=10,1,0))</f>
        <v>0</v>
      </c>
    </row>
    <row r="304">
      <c r="A304">
        <v>300</v>
      </c>
      <c r="G304" s="5">
        <f>IF(B304="","",SUM(D304:F304))</f>
        <v>0</v>
      </c>
      <c r="H304">
        <f>IF(B304="","",TEXT(B304,"mmm"))</f>
        <v>0</v>
      </c>
      <c r="I304">
        <f>IF(B304="","",YEAR(B304))</f>
        <v>0</v>
      </c>
      <c r="K304">
        <f>IF(B304="","",YEAR(B304)+IF(MONTH(B304)&gt;=10,1,0))</f>
        <v>0</v>
      </c>
    </row>
    <row r="305">
      <c r="A305">
        <v>301</v>
      </c>
      <c r="G305" s="5">
        <f>IF(B305="","",SUM(D305:F305))</f>
        <v>0</v>
      </c>
      <c r="H305">
        <f>IF(B305="","",TEXT(B305,"mmm"))</f>
        <v>0</v>
      </c>
      <c r="I305">
        <f>IF(B305="","",YEAR(B305))</f>
        <v>0</v>
      </c>
      <c r="K305">
        <f>IF(B305="","",YEAR(B305)+IF(MONTH(B305)&gt;=10,1,0))</f>
        <v>0</v>
      </c>
    </row>
    <row r="306">
      <c r="A306">
        <v>302</v>
      </c>
      <c r="G306" s="5">
        <f>IF(B306="","",SUM(D306:F306))</f>
        <v>0</v>
      </c>
      <c r="H306">
        <f>IF(B306="","",TEXT(B306,"mmm"))</f>
        <v>0</v>
      </c>
      <c r="I306">
        <f>IF(B306="","",YEAR(B306))</f>
        <v>0</v>
      </c>
      <c r="K306">
        <f>IF(B306="","",YEAR(B306)+IF(MONTH(B306)&gt;=10,1,0))</f>
        <v>0</v>
      </c>
    </row>
    <row r="307">
      <c r="A307">
        <v>303</v>
      </c>
      <c r="G307" s="5">
        <f>IF(B307="","",SUM(D307:F307))</f>
        <v>0</v>
      </c>
      <c r="H307">
        <f>IF(B307="","",TEXT(B307,"mmm"))</f>
        <v>0</v>
      </c>
      <c r="I307">
        <f>IF(B307="","",YEAR(B307))</f>
        <v>0</v>
      </c>
      <c r="K307">
        <f>IF(B307="","",YEAR(B307)+IF(MONTH(B307)&gt;=10,1,0))</f>
        <v>0</v>
      </c>
    </row>
    <row r="308">
      <c r="A308">
        <v>304</v>
      </c>
      <c r="G308" s="5">
        <f>IF(B308="","",SUM(D308:F308))</f>
        <v>0</v>
      </c>
      <c r="H308">
        <f>IF(B308="","",TEXT(B308,"mmm"))</f>
        <v>0</v>
      </c>
      <c r="I308">
        <f>IF(B308="","",YEAR(B308))</f>
        <v>0</v>
      </c>
      <c r="K308">
        <f>IF(B308="","",YEAR(B308)+IF(MONTH(B308)&gt;=10,1,0))</f>
        <v>0</v>
      </c>
    </row>
    <row r="309">
      <c r="A309">
        <v>305</v>
      </c>
      <c r="G309" s="5">
        <f>IF(B309="","",SUM(D309:F309))</f>
        <v>0</v>
      </c>
      <c r="H309">
        <f>IF(B309="","",TEXT(B309,"mmm"))</f>
        <v>0</v>
      </c>
      <c r="I309">
        <f>IF(B309="","",YEAR(B309))</f>
        <v>0</v>
      </c>
      <c r="K309">
        <f>IF(B309="","",YEAR(B309)+IF(MONTH(B309)&gt;=10,1,0))</f>
        <v>0</v>
      </c>
    </row>
    <row r="310">
      <c r="A310">
        <v>306</v>
      </c>
      <c r="G310" s="5">
        <f>IF(B310="","",SUM(D310:F310))</f>
        <v>0</v>
      </c>
      <c r="H310">
        <f>IF(B310="","",TEXT(B310,"mmm"))</f>
        <v>0</v>
      </c>
      <c r="I310">
        <f>IF(B310="","",YEAR(B310))</f>
        <v>0</v>
      </c>
      <c r="K310">
        <f>IF(B310="","",YEAR(B310)+IF(MONTH(B310)&gt;=10,1,0))</f>
        <v>0</v>
      </c>
    </row>
    <row r="311">
      <c r="A311">
        <v>307</v>
      </c>
      <c r="G311" s="5">
        <f>IF(B311="","",SUM(D311:F311))</f>
        <v>0</v>
      </c>
      <c r="H311">
        <f>IF(B311="","",TEXT(B311,"mmm"))</f>
        <v>0</v>
      </c>
      <c r="I311">
        <f>IF(B311="","",YEAR(B311))</f>
        <v>0</v>
      </c>
      <c r="K311">
        <f>IF(B311="","",YEAR(B311)+IF(MONTH(B311)&gt;=10,1,0))</f>
        <v>0</v>
      </c>
    </row>
    <row r="312">
      <c r="A312">
        <v>308</v>
      </c>
      <c r="G312" s="5">
        <f>IF(B312="","",SUM(D312:F312))</f>
        <v>0</v>
      </c>
      <c r="H312">
        <f>IF(B312="","",TEXT(B312,"mmm"))</f>
        <v>0</v>
      </c>
      <c r="I312">
        <f>IF(B312="","",YEAR(B312))</f>
        <v>0</v>
      </c>
      <c r="K312">
        <f>IF(B312="","",YEAR(B312)+IF(MONTH(B312)&gt;=10,1,0))</f>
        <v>0</v>
      </c>
    </row>
    <row r="313">
      <c r="A313">
        <v>309</v>
      </c>
      <c r="G313" s="5">
        <f>IF(B313="","",SUM(D313:F313))</f>
        <v>0</v>
      </c>
      <c r="H313">
        <f>IF(B313="","",TEXT(B313,"mmm"))</f>
        <v>0</v>
      </c>
      <c r="I313">
        <f>IF(B313="","",YEAR(B313))</f>
        <v>0</v>
      </c>
      <c r="K313">
        <f>IF(B313="","",YEAR(B313)+IF(MONTH(B313)&gt;=10,1,0))</f>
        <v>0</v>
      </c>
    </row>
    <row r="314">
      <c r="A314">
        <v>310</v>
      </c>
      <c r="G314" s="5">
        <f>IF(B314="","",SUM(D314:F314))</f>
        <v>0</v>
      </c>
      <c r="H314">
        <f>IF(B314="","",TEXT(B314,"mmm"))</f>
        <v>0</v>
      </c>
      <c r="I314">
        <f>IF(B314="","",YEAR(B314))</f>
        <v>0</v>
      </c>
      <c r="K314">
        <f>IF(B314="","",YEAR(B314)+IF(MONTH(B314)&gt;=10,1,0))</f>
        <v>0</v>
      </c>
    </row>
    <row r="315">
      <c r="A315">
        <v>311</v>
      </c>
      <c r="G315" s="5">
        <f>IF(B315="","",SUM(D315:F315))</f>
        <v>0</v>
      </c>
      <c r="H315">
        <f>IF(B315="","",TEXT(B315,"mmm"))</f>
        <v>0</v>
      </c>
      <c r="I315">
        <f>IF(B315="","",YEAR(B315))</f>
        <v>0</v>
      </c>
      <c r="K315">
        <f>IF(B315="","",YEAR(B315)+IF(MONTH(B315)&gt;=10,1,0))</f>
        <v>0</v>
      </c>
    </row>
    <row r="316">
      <c r="A316">
        <v>312</v>
      </c>
      <c r="G316" s="5">
        <f>IF(B316="","",SUM(D316:F316))</f>
        <v>0</v>
      </c>
      <c r="H316">
        <f>IF(B316="","",TEXT(B316,"mmm"))</f>
        <v>0</v>
      </c>
      <c r="I316">
        <f>IF(B316="","",YEAR(B316))</f>
        <v>0</v>
      </c>
      <c r="K316">
        <f>IF(B316="","",YEAR(B316)+IF(MONTH(B316)&gt;=10,1,0))</f>
        <v>0</v>
      </c>
    </row>
    <row r="317">
      <c r="A317">
        <v>313</v>
      </c>
      <c r="G317" s="5">
        <f>IF(B317="","",SUM(D317:F317))</f>
        <v>0</v>
      </c>
      <c r="H317">
        <f>IF(B317="","",TEXT(B317,"mmm"))</f>
        <v>0</v>
      </c>
      <c r="I317">
        <f>IF(B317="","",YEAR(B317))</f>
        <v>0</v>
      </c>
      <c r="K317">
        <f>IF(B317="","",YEAR(B317)+IF(MONTH(B317)&gt;=10,1,0))</f>
        <v>0</v>
      </c>
    </row>
    <row r="318">
      <c r="A318">
        <v>314</v>
      </c>
      <c r="G318" s="5">
        <f>IF(B318="","",SUM(D318:F318))</f>
        <v>0</v>
      </c>
      <c r="H318">
        <f>IF(B318="","",TEXT(B318,"mmm"))</f>
        <v>0</v>
      </c>
      <c r="I318">
        <f>IF(B318="","",YEAR(B318))</f>
        <v>0</v>
      </c>
      <c r="K318">
        <f>IF(B318="","",YEAR(B318)+IF(MONTH(B318)&gt;=10,1,0))</f>
        <v>0</v>
      </c>
    </row>
    <row r="319">
      <c r="A319">
        <v>315</v>
      </c>
      <c r="G319" s="5">
        <f>IF(B319="","",SUM(D319:F319))</f>
        <v>0</v>
      </c>
      <c r="H319">
        <f>IF(B319="","",TEXT(B319,"mmm"))</f>
        <v>0</v>
      </c>
      <c r="I319">
        <f>IF(B319="","",YEAR(B319))</f>
        <v>0</v>
      </c>
      <c r="K319">
        <f>IF(B319="","",YEAR(B319)+IF(MONTH(B319)&gt;=10,1,0))</f>
        <v>0</v>
      </c>
    </row>
    <row r="320">
      <c r="A320">
        <v>316</v>
      </c>
      <c r="G320" s="5">
        <f>IF(B320="","",SUM(D320:F320))</f>
        <v>0</v>
      </c>
      <c r="H320">
        <f>IF(B320="","",TEXT(B320,"mmm"))</f>
        <v>0</v>
      </c>
      <c r="I320">
        <f>IF(B320="","",YEAR(B320))</f>
        <v>0</v>
      </c>
      <c r="K320">
        <f>IF(B320="","",YEAR(B320)+IF(MONTH(B320)&gt;=10,1,0))</f>
        <v>0</v>
      </c>
    </row>
    <row r="321">
      <c r="A321">
        <v>317</v>
      </c>
      <c r="G321" s="5">
        <f>IF(B321="","",SUM(D321:F321))</f>
        <v>0</v>
      </c>
      <c r="H321">
        <f>IF(B321="","",TEXT(B321,"mmm"))</f>
        <v>0</v>
      </c>
      <c r="I321">
        <f>IF(B321="","",YEAR(B321))</f>
        <v>0</v>
      </c>
      <c r="K321">
        <f>IF(B321="","",YEAR(B321)+IF(MONTH(B321)&gt;=10,1,0))</f>
        <v>0</v>
      </c>
    </row>
    <row r="322">
      <c r="A322">
        <v>318</v>
      </c>
      <c r="G322" s="5">
        <f>IF(B322="","",SUM(D322:F322))</f>
        <v>0</v>
      </c>
      <c r="H322">
        <f>IF(B322="","",TEXT(B322,"mmm"))</f>
        <v>0</v>
      </c>
      <c r="I322">
        <f>IF(B322="","",YEAR(B322))</f>
        <v>0</v>
      </c>
      <c r="K322">
        <f>IF(B322="","",YEAR(B322)+IF(MONTH(B322)&gt;=10,1,0))</f>
        <v>0</v>
      </c>
    </row>
    <row r="323">
      <c r="A323">
        <v>319</v>
      </c>
      <c r="G323" s="5">
        <f>IF(B323="","",SUM(D323:F323))</f>
        <v>0</v>
      </c>
      <c r="H323">
        <f>IF(B323="","",TEXT(B323,"mmm"))</f>
        <v>0</v>
      </c>
      <c r="I323">
        <f>IF(B323="","",YEAR(B323))</f>
        <v>0</v>
      </c>
      <c r="K323">
        <f>IF(B323="","",YEAR(B323)+IF(MONTH(B323)&gt;=10,1,0))</f>
        <v>0</v>
      </c>
    </row>
    <row r="324">
      <c r="A324">
        <v>320</v>
      </c>
      <c r="G324" s="5">
        <f>IF(B324="","",SUM(D324:F324))</f>
        <v>0</v>
      </c>
      <c r="H324">
        <f>IF(B324="","",TEXT(B324,"mmm"))</f>
        <v>0</v>
      </c>
      <c r="I324">
        <f>IF(B324="","",YEAR(B324))</f>
        <v>0</v>
      </c>
      <c r="K324">
        <f>IF(B324="","",YEAR(B324)+IF(MONTH(B324)&gt;=10,1,0))</f>
        <v>0</v>
      </c>
    </row>
    <row r="325">
      <c r="A325">
        <v>321</v>
      </c>
      <c r="G325" s="5">
        <f>IF(B325="","",SUM(D325:F325))</f>
        <v>0</v>
      </c>
      <c r="H325">
        <f>IF(B325="","",TEXT(B325,"mmm"))</f>
        <v>0</v>
      </c>
      <c r="I325">
        <f>IF(B325="","",YEAR(B325))</f>
        <v>0</v>
      </c>
      <c r="K325">
        <f>IF(B325="","",YEAR(B325)+IF(MONTH(B325)&gt;=10,1,0))</f>
        <v>0</v>
      </c>
    </row>
    <row r="326">
      <c r="A326">
        <v>322</v>
      </c>
      <c r="G326" s="5">
        <f>IF(B326="","",SUM(D326:F326))</f>
        <v>0</v>
      </c>
      <c r="H326">
        <f>IF(B326="","",TEXT(B326,"mmm"))</f>
        <v>0</v>
      </c>
      <c r="I326">
        <f>IF(B326="","",YEAR(B326))</f>
        <v>0</v>
      </c>
      <c r="K326">
        <f>IF(B326="","",YEAR(B326)+IF(MONTH(B326)&gt;=10,1,0))</f>
        <v>0</v>
      </c>
    </row>
    <row r="327">
      <c r="A327">
        <v>323</v>
      </c>
      <c r="G327" s="5">
        <f>IF(B327="","",SUM(D327:F327))</f>
        <v>0</v>
      </c>
      <c r="H327">
        <f>IF(B327="","",TEXT(B327,"mmm"))</f>
        <v>0</v>
      </c>
      <c r="I327">
        <f>IF(B327="","",YEAR(B327))</f>
        <v>0</v>
      </c>
      <c r="K327">
        <f>IF(B327="","",YEAR(B327)+IF(MONTH(B327)&gt;=10,1,0))</f>
        <v>0</v>
      </c>
    </row>
    <row r="328">
      <c r="A328">
        <v>324</v>
      </c>
      <c r="G328" s="5">
        <f>IF(B328="","",SUM(D328:F328))</f>
        <v>0</v>
      </c>
      <c r="H328">
        <f>IF(B328="","",TEXT(B328,"mmm"))</f>
        <v>0</v>
      </c>
      <c r="I328">
        <f>IF(B328="","",YEAR(B328))</f>
        <v>0</v>
      </c>
      <c r="K328">
        <f>IF(B328="","",YEAR(B328)+IF(MONTH(B328)&gt;=10,1,0))</f>
        <v>0</v>
      </c>
    </row>
    <row r="329">
      <c r="A329">
        <v>325</v>
      </c>
      <c r="G329" s="5">
        <f>IF(B329="","",SUM(D329:F329))</f>
        <v>0</v>
      </c>
      <c r="H329">
        <f>IF(B329="","",TEXT(B329,"mmm"))</f>
        <v>0</v>
      </c>
      <c r="I329">
        <f>IF(B329="","",YEAR(B329))</f>
        <v>0</v>
      </c>
      <c r="K329">
        <f>IF(B329="","",YEAR(B329)+IF(MONTH(B329)&gt;=10,1,0))</f>
        <v>0</v>
      </c>
    </row>
    <row r="330">
      <c r="A330">
        <v>326</v>
      </c>
      <c r="G330" s="5">
        <f>IF(B330="","",SUM(D330:F330))</f>
        <v>0</v>
      </c>
      <c r="H330">
        <f>IF(B330="","",TEXT(B330,"mmm"))</f>
        <v>0</v>
      </c>
      <c r="I330">
        <f>IF(B330="","",YEAR(B330))</f>
        <v>0</v>
      </c>
      <c r="K330">
        <f>IF(B330="","",YEAR(B330)+IF(MONTH(B330)&gt;=10,1,0))</f>
        <v>0</v>
      </c>
    </row>
    <row r="331">
      <c r="A331">
        <v>327</v>
      </c>
      <c r="G331" s="5">
        <f>IF(B331="","",SUM(D331:F331))</f>
        <v>0</v>
      </c>
      <c r="H331">
        <f>IF(B331="","",TEXT(B331,"mmm"))</f>
        <v>0</v>
      </c>
      <c r="I331">
        <f>IF(B331="","",YEAR(B331))</f>
        <v>0</v>
      </c>
      <c r="K331">
        <f>IF(B331="","",YEAR(B331)+IF(MONTH(B331)&gt;=10,1,0))</f>
        <v>0</v>
      </c>
    </row>
    <row r="332">
      <c r="A332">
        <v>328</v>
      </c>
      <c r="G332" s="5">
        <f>IF(B332="","",SUM(D332:F332))</f>
        <v>0</v>
      </c>
      <c r="H332">
        <f>IF(B332="","",TEXT(B332,"mmm"))</f>
        <v>0</v>
      </c>
      <c r="I332">
        <f>IF(B332="","",YEAR(B332))</f>
        <v>0</v>
      </c>
      <c r="K332">
        <f>IF(B332="","",YEAR(B332)+IF(MONTH(B332)&gt;=10,1,0))</f>
        <v>0</v>
      </c>
    </row>
    <row r="333">
      <c r="A333">
        <v>329</v>
      </c>
      <c r="G333" s="5">
        <f>IF(B333="","",SUM(D333:F333))</f>
        <v>0</v>
      </c>
      <c r="H333">
        <f>IF(B333="","",TEXT(B333,"mmm"))</f>
        <v>0</v>
      </c>
      <c r="I333">
        <f>IF(B333="","",YEAR(B333))</f>
        <v>0</v>
      </c>
      <c r="K333">
        <f>IF(B333="","",YEAR(B333)+IF(MONTH(B333)&gt;=10,1,0))</f>
        <v>0</v>
      </c>
    </row>
    <row r="334">
      <c r="A334">
        <v>330</v>
      </c>
      <c r="G334" s="5">
        <f>IF(B334="","",SUM(D334:F334))</f>
        <v>0</v>
      </c>
      <c r="H334">
        <f>IF(B334="","",TEXT(B334,"mmm"))</f>
        <v>0</v>
      </c>
      <c r="I334">
        <f>IF(B334="","",YEAR(B334))</f>
        <v>0</v>
      </c>
      <c r="K334">
        <f>IF(B334="","",YEAR(B334)+IF(MONTH(B334)&gt;=10,1,0))</f>
        <v>0</v>
      </c>
    </row>
    <row r="335">
      <c r="A335">
        <v>331</v>
      </c>
      <c r="G335" s="5">
        <f>IF(B335="","",SUM(D335:F335))</f>
        <v>0</v>
      </c>
      <c r="H335">
        <f>IF(B335="","",TEXT(B335,"mmm"))</f>
        <v>0</v>
      </c>
      <c r="I335">
        <f>IF(B335="","",YEAR(B335))</f>
        <v>0</v>
      </c>
      <c r="K335">
        <f>IF(B335="","",YEAR(B335)+IF(MONTH(B335)&gt;=10,1,0))</f>
        <v>0</v>
      </c>
    </row>
    <row r="336">
      <c r="A336">
        <v>332</v>
      </c>
      <c r="G336" s="5">
        <f>IF(B336="","",SUM(D336:F336))</f>
        <v>0</v>
      </c>
      <c r="H336">
        <f>IF(B336="","",TEXT(B336,"mmm"))</f>
        <v>0</v>
      </c>
      <c r="I336">
        <f>IF(B336="","",YEAR(B336))</f>
        <v>0</v>
      </c>
      <c r="K336">
        <f>IF(B336="","",YEAR(B336)+IF(MONTH(B336)&gt;=10,1,0))</f>
        <v>0</v>
      </c>
    </row>
    <row r="337">
      <c r="A337">
        <v>333</v>
      </c>
      <c r="G337" s="5">
        <f>IF(B337="","",SUM(D337:F337))</f>
        <v>0</v>
      </c>
      <c r="H337">
        <f>IF(B337="","",TEXT(B337,"mmm"))</f>
        <v>0</v>
      </c>
      <c r="I337">
        <f>IF(B337="","",YEAR(B337))</f>
        <v>0</v>
      </c>
      <c r="K337">
        <f>IF(B337="","",YEAR(B337)+IF(MONTH(B337)&gt;=10,1,0))</f>
        <v>0</v>
      </c>
    </row>
    <row r="338">
      <c r="A338">
        <v>334</v>
      </c>
      <c r="G338" s="5">
        <f>IF(B338="","",SUM(D338:F338))</f>
        <v>0</v>
      </c>
      <c r="H338">
        <f>IF(B338="","",TEXT(B338,"mmm"))</f>
        <v>0</v>
      </c>
      <c r="I338">
        <f>IF(B338="","",YEAR(B338))</f>
        <v>0</v>
      </c>
      <c r="K338">
        <f>IF(B338="","",YEAR(B338)+IF(MONTH(B338)&gt;=10,1,0))</f>
        <v>0</v>
      </c>
    </row>
    <row r="339">
      <c r="A339">
        <v>335</v>
      </c>
      <c r="G339" s="5">
        <f>IF(B339="","",SUM(D339:F339))</f>
        <v>0</v>
      </c>
      <c r="H339">
        <f>IF(B339="","",TEXT(B339,"mmm"))</f>
        <v>0</v>
      </c>
      <c r="I339">
        <f>IF(B339="","",YEAR(B339))</f>
        <v>0</v>
      </c>
      <c r="K339">
        <f>IF(B339="","",YEAR(B339)+IF(MONTH(B339)&gt;=10,1,0))</f>
        <v>0</v>
      </c>
    </row>
    <row r="340">
      <c r="A340">
        <v>336</v>
      </c>
      <c r="G340" s="5">
        <f>IF(B340="","",SUM(D340:F340))</f>
        <v>0</v>
      </c>
      <c r="H340">
        <f>IF(B340="","",TEXT(B340,"mmm"))</f>
        <v>0</v>
      </c>
      <c r="I340">
        <f>IF(B340="","",YEAR(B340))</f>
        <v>0</v>
      </c>
      <c r="K340">
        <f>IF(B340="","",YEAR(B340)+IF(MONTH(B340)&gt;=10,1,0))</f>
        <v>0</v>
      </c>
    </row>
    <row r="341">
      <c r="A341">
        <v>337</v>
      </c>
      <c r="G341" s="5">
        <f>IF(B341="","",SUM(D341:F341))</f>
        <v>0</v>
      </c>
      <c r="H341">
        <f>IF(B341="","",TEXT(B341,"mmm"))</f>
        <v>0</v>
      </c>
      <c r="I341">
        <f>IF(B341="","",YEAR(B341))</f>
        <v>0</v>
      </c>
      <c r="K341">
        <f>IF(B341="","",YEAR(B341)+IF(MONTH(B341)&gt;=10,1,0))</f>
        <v>0</v>
      </c>
    </row>
    <row r="342">
      <c r="A342">
        <v>338</v>
      </c>
      <c r="G342" s="5">
        <f>IF(B342="","",SUM(D342:F342))</f>
        <v>0</v>
      </c>
      <c r="H342">
        <f>IF(B342="","",TEXT(B342,"mmm"))</f>
        <v>0</v>
      </c>
      <c r="I342">
        <f>IF(B342="","",YEAR(B342))</f>
        <v>0</v>
      </c>
      <c r="K342">
        <f>IF(B342="","",YEAR(B342)+IF(MONTH(B342)&gt;=10,1,0))</f>
        <v>0</v>
      </c>
    </row>
    <row r="343">
      <c r="A343">
        <v>339</v>
      </c>
      <c r="G343" s="5">
        <f>IF(B343="","",SUM(D343:F343))</f>
        <v>0</v>
      </c>
      <c r="H343">
        <f>IF(B343="","",TEXT(B343,"mmm"))</f>
        <v>0</v>
      </c>
      <c r="I343">
        <f>IF(B343="","",YEAR(B343))</f>
        <v>0</v>
      </c>
      <c r="K343">
        <f>IF(B343="","",YEAR(B343)+IF(MONTH(B343)&gt;=10,1,0))</f>
        <v>0</v>
      </c>
    </row>
    <row r="344">
      <c r="A344">
        <v>340</v>
      </c>
      <c r="G344" s="5">
        <f>IF(B344="","",SUM(D344:F344))</f>
        <v>0</v>
      </c>
      <c r="H344">
        <f>IF(B344="","",TEXT(B344,"mmm"))</f>
        <v>0</v>
      </c>
      <c r="I344">
        <f>IF(B344="","",YEAR(B344))</f>
        <v>0</v>
      </c>
      <c r="K344">
        <f>IF(B344="","",YEAR(B344)+IF(MONTH(B344)&gt;=10,1,0))</f>
        <v>0</v>
      </c>
    </row>
    <row r="345">
      <c r="A345">
        <v>341</v>
      </c>
      <c r="G345" s="5">
        <f>IF(B345="","",SUM(D345:F345))</f>
        <v>0</v>
      </c>
      <c r="H345">
        <f>IF(B345="","",TEXT(B345,"mmm"))</f>
        <v>0</v>
      </c>
      <c r="I345">
        <f>IF(B345="","",YEAR(B345))</f>
        <v>0</v>
      </c>
      <c r="K345">
        <f>IF(B345="","",YEAR(B345)+IF(MONTH(B345)&gt;=10,1,0))</f>
        <v>0</v>
      </c>
    </row>
    <row r="346">
      <c r="A346">
        <v>342</v>
      </c>
      <c r="G346" s="5">
        <f>IF(B346="","",SUM(D346:F346))</f>
        <v>0</v>
      </c>
      <c r="H346">
        <f>IF(B346="","",TEXT(B346,"mmm"))</f>
        <v>0</v>
      </c>
      <c r="I346">
        <f>IF(B346="","",YEAR(B346))</f>
        <v>0</v>
      </c>
      <c r="K346">
        <f>IF(B346="","",YEAR(B346)+IF(MONTH(B346)&gt;=10,1,0))</f>
        <v>0</v>
      </c>
    </row>
    <row r="347">
      <c r="A347">
        <v>343</v>
      </c>
      <c r="G347" s="5">
        <f>IF(B347="","",SUM(D347:F347))</f>
        <v>0</v>
      </c>
      <c r="H347">
        <f>IF(B347="","",TEXT(B347,"mmm"))</f>
        <v>0</v>
      </c>
      <c r="I347">
        <f>IF(B347="","",YEAR(B347))</f>
        <v>0</v>
      </c>
      <c r="K347">
        <f>IF(B347="","",YEAR(B347)+IF(MONTH(B347)&gt;=10,1,0))</f>
        <v>0</v>
      </c>
    </row>
    <row r="348">
      <c r="A348">
        <v>344</v>
      </c>
      <c r="G348" s="5">
        <f>IF(B348="","",SUM(D348:F348))</f>
        <v>0</v>
      </c>
      <c r="H348">
        <f>IF(B348="","",TEXT(B348,"mmm"))</f>
        <v>0</v>
      </c>
      <c r="I348">
        <f>IF(B348="","",YEAR(B348))</f>
        <v>0</v>
      </c>
      <c r="K348">
        <f>IF(B348="","",YEAR(B348)+IF(MONTH(B348)&gt;=10,1,0))</f>
        <v>0</v>
      </c>
    </row>
    <row r="349">
      <c r="A349">
        <v>345</v>
      </c>
      <c r="G349" s="5">
        <f>IF(B349="","",SUM(D349:F349))</f>
        <v>0</v>
      </c>
      <c r="H349">
        <f>IF(B349="","",TEXT(B349,"mmm"))</f>
        <v>0</v>
      </c>
      <c r="I349">
        <f>IF(B349="","",YEAR(B349))</f>
        <v>0</v>
      </c>
      <c r="K349">
        <f>IF(B349="","",YEAR(B349)+IF(MONTH(B349)&gt;=10,1,0))</f>
        <v>0</v>
      </c>
    </row>
    <row r="350">
      <c r="A350">
        <v>346</v>
      </c>
      <c r="G350" s="5">
        <f>IF(B350="","",SUM(D350:F350))</f>
        <v>0</v>
      </c>
      <c r="H350">
        <f>IF(B350="","",TEXT(B350,"mmm"))</f>
        <v>0</v>
      </c>
      <c r="I350">
        <f>IF(B350="","",YEAR(B350))</f>
        <v>0</v>
      </c>
      <c r="K350">
        <f>IF(B350="","",YEAR(B350)+IF(MONTH(B350)&gt;=10,1,0))</f>
        <v>0</v>
      </c>
    </row>
    <row r="351">
      <c r="A351">
        <v>347</v>
      </c>
      <c r="G351" s="5">
        <f>IF(B351="","",SUM(D351:F351))</f>
        <v>0</v>
      </c>
      <c r="H351">
        <f>IF(B351="","",TEXT(B351,"mmm"))</f>
        <v>0</v>
      </c>
      <c r="I351">
        <f>IF(B351="","",YEAR(B351))</f>
        <v>0</v>
      </c>
      <c r="K351">
        <f>IF(B351="","",YEAR(B351)+IF(MONTH(B351)&gt;=10,1,0))</f>
        <v>0</v>
      </c>
    </row>
    <row r="352">
      <c r="A352">
        <v>348</v>
      </c>
      <c r="G352" s="5">
        <f>IF(B352="","",SUM(D352:F352))</f>
        <v>0</v>
      </c>
      <c r="H352">
        <f>IF(B352="","",TEXT(B352,"mmm"))</f>
        <v>0</v>
      </c>
      <c r="I352">
        <f>IF(B352="","",YEAR(B352))</f>
        <v>0</v>
      </c>
      <c r="K352">
        <f>IF(B352="","",YEAR(B352)+IF(MONTH(B352)&gt;=10,1,0))</f>
        <v>0</v>
      </c>
    </row>
    <row r="353">
      <c r="A353">
        <v>349</v>
      </c>
      <c r="G353" s="5">
        <f>IF(B353="","",SUM(D353:F353))</f>
        <v>0</v>
      </c>
      <c r="H353">
        <f>IF(B353="","",TEXT(B353,"mmm"))</f>
        <v>0</v>
      </c>
      <c r="I353">
        <f>IF(B353="","",YEAR(B353))</f>
        <v>0</v>
      </c>
      <c r="K353">
        <f>IF(B353="","",YEAR(B353)+IF(MONTH(B353)&gt;=10,1,0))</f>
        <v>0</v>
      </c>
    </row>
    <row r="354">
      <c r="A354">
        <v>350</v>
      </c>
      <c r="G354" s="5">
        <f>IF(B354="","",SUM(D354:F354))</f>
        <v>0</v>
      </c>
      <c r="H354">
        <f>IF(B354="","",TEXT(B354,"mmm"))</f>
        <v>0</v>
      </c>
      <c r="I354">
        <f>IF(B354="","",YEAR(B354))</f>
        <v>0</v>
      </c>
      <c r="K354">
        <f>IF(B354="","",YEAR(B354)+IF(MONTH(B354)&gt;=10,1,0))</f>
        <v>0</v>
      </c>
    </row>
    <row r="355">
      <c r="A355">
        <v>351</v>
      </c>
      <c r="G355" s="5">
        <f>IF(B355="","",SUM(D355:F355))</f>
        <v>0</v>
      </c>
      <c r="H355">
        <f>IF(B355="","",TEXT(B355,"mmm"))</f>
        <v>0</v>
      </c>
      <c r="I355">
        <f>IF(B355="","",YEAR(B355))</f>
        <v>0</v>
      </c>
      <c r="K355">
        <f>IF(B355="","",YEAR(B355)+IF(MONTH(B355)&gt;=10,1,0))</f>
        <v>0</v>
      </c>
    </row>
    <row r="356">
      <c r="A356">
        <v>352</v>
      </c>
      <c r="G356" s="5">
        <f>IF(B356="","",SUM(D356:F356))</f>
        <v>0</v>
      </c>
      <c r="H356">
        <f>IF(B356="","",TEXT(B356,"mmm"))</f>
        <v>0</v>
      </c>
      <c r="I356">
        <f>IF(B356="","",YEAR(B356))</f>
        <v>0</v>
      </c>
      <c r="K356">
        <f>IF(B356="","",YEAR(B356)+IF(MONTH(B356)&gt;=10,1,0))</f>
        <v>0</v>
      </c>
    </row>
    <row r="357">
      <c r="A357">
        <v>353</v>
      </c>
      <c r="G357" s="5">
        <f>IF(B357="","",SUM(D357:F357))</f>
        <v>0</v>
      </c>
      <c r="H357">
        <f>IF(B357="","",TEXT(B357,"mmm"))</f>
        <v>0</v>
      </c>
      <c r="I357">
        <f>IF(B357="","",YEAR(B357))</f>
        <v>0</v>
      </c>
      <c r="K357">
        <f>IF(B357="","",YEAR(B357)+IF(MONTH(B357)&gt;=10,1,0))</f>
        <v>0</v>
      </c>
    </row>
    <row r="358">
      <c r="A358">
        <v>354</v>
      </c>
      <c r="G358" s="5">
        <f>IF(B358="","",SUM(D358:F358))</f>
        <v>0</v>
      </c>
      <c r="H358">
        <f>IF(B358="","",TEXT(B358,"mmm"))</f>
        <v>0</v>
      </c>
      <c r="I358">
        <f>IF(B358="","",YEAR(B358))</f>
        <v>0</v>
      </c>
      <c r="K358">
        <f>IF(B358="","",YEAR(B358)+IF(MONTH(B358)&gt;=10,1,0))</f>
        <v>0</v>
      </c>
    </row>
    <row r="359">
      <c r="A359">
        <v>355</v>
      </c>
      <c r="G359" s="5">
        <f>IF(B359="","",SUM(D359:F359))</f>
        <v>0</v>
      </c>
      <c r="H359">
        <f>IF(B359="","",TEXT(B359,"mmm"))</f>
        <v>0</v>
      </c>
      <c r="I359">
        <f>IF(B359="","",YEAR(B359))</f>
        <v>0</v>
      </c>
      <c r="K359">
        <f>IF(B359="","",YEAR(B359)+IF(MONTH(B359)&gt;=10,1,0))</f>
        <v>0</v>
      </c>
    </row>
    <row r="360">
      <c r="A360">
        <v>356</v>
      </c>
      <c r="G360" s="5">
        <f>IF(B360="","",SUM(D360:F360))</f>
        <v>0</v>
      </c>
      <c r="H360">
        <f>IF(B360="","",TEXT(B360,"mmm"))</f>
        <v>0</v>
      </c>
      <c r="I360">
        <f>IF(B360="","",YEAR(B360))</f>
        <v>0</v>
      </c>
      <c r="K360">
        <f>IF(B360="","",YEAR(B360)+IF(MONTH(B360)&gt;=10,1,0))</f>
        <v>0</v>
      </c>
    </row>
    <row r="361">
      <c r="A361">
        <v>357</v>
      </c>
      <c r="G361" s="5">
        <f>IF(B361="","",SUM(D361:F361))</f>
        <v>0</v>
      </c>
      <c r="H361">
        <f>IF(B361="","",TEXT(B361,"mmm"))</f>
        <v>0</v>
      </c>
      <c r="I361">
        <f>IF(B361="","",YEAR(B361))</f>
        <v>0</v>
      </c>
      <c r="K361">
        <f>IF(B361="","",YEAR(B361)+IF(MONTH(B361)&gt;=10,1,0))</f>
        <v>0</v>
      </c>
    </row>
    <row r="362">
      <c r="A362">
        <v>358</v>
      </c>
      <c r="G362" s="5">
        <f>IF(B362="","",SUM(D362:F362))</f>
        <v>0</v>
      </c>
      <c r="H362">
        <f>IF(B362="","",TEXT(B362,"mmm"))</f>
        <v>0</v>
      </c>
      <c r="I362">
        <f>IF(B362="","",YEAR(B362))</f>
        <v>0</v>
      </c>
      <c r="K362">
        <f>IF(B362="","",YEAR(B362)+IF(MONTH(B362)&gt;=10,1,0))</f>
        <v>0</v>
      </c>
    </row>
    <row r="363">
      <c r="A363">
        <v>359</v>
      </c>
      <c r="G363" s="5">
        <f>IF(B363="","",SUM(D363:F363))</f>
        <v>0</v>
      </c>
      <c r="H363">
        <f>IF(B363="","",TEXT(B363,"mmm"))</f>
        <v>0</v>
      </c>
      <c r="I363">
        <f>IF(B363="","",YEAR(B363))</f>
        <v>0</v>
      </c>
      <c r="K363">
        <f>IF(B363="","",YEAR(B363)+IF(MONTH(B363)&gt;=10,1,0))</f>
        <v>0</v>
      </c>
    </row>
    <row r="364">
      <c r="A364">
        <v>360</v>
      </c>
      <c r="G364" s="5">
        <f>IF(B364="","",SUM(D364:F364))</f>
        <v>0</v>
      </c>
      <c r="H364">
        <f>IF(B364="","",TEXT(B364,"mmm"))</f>
        <v>0</v>
      </c>
      <c r="I364">
        <f>IF(B364="","",YEAR(B364))</f>
        <v>0</v>
      </c>
      <c r="K364">
        <f>IF(B364="","",YEAR(B364)+IF(MONTH(B364)&gt;=10,1,0))</f>
        <v>0</v>
      </c>
    </row>
    <row r="365">
      <c r="A365">
        <v>361</v>
      </c>
      <c r="G365" s="5">
        <f>IF(B365="","",SUM(D365:F365))</f>
        <v>0</v>
      </c>
      <c r="H365">
        <f>IF(B365="","",TEXT(B365,"mmm"))</f>
        <v>0</v>
      </c>
      <c r="I365">
        <f>IF(B365="","",YEAR(B365))</f>
        <v>0</v>
      </c>
      <c r="K365">
        <f>IF(B365="","",YEAR(B365)+IF(MONTH(B365)&gt;=10,1,0))</f>
        <v>0</v>
      </c>
    </row>
    <row r="366">
      <c r="A366">
        <v>362</v>
      </c>
      <c r="G366" s="5">
        <f>IF(B366="","",SUM(D366:F366))</f>
        <v>0</v>
      </c>
      <c r="H366">
        <f>IF(B366="","",TEXT(B366,"mmm"))</f>
        <v>0</v>
      </c>
      <c r="I366">
        <f>IF(B366="","",YEAR(B366))</f>
        <v>0</v>
      </c>
      <c r="K366">
        <f>IF(B366="","",YEAR(B366)+IF(MONTH(B366)&gt;=10,1,0))</f>
        <v>0</v>
      </c>
    </row>
    <row r="367">
      <c r="A367">
        <v>363</v>
      </c>
      <c r="G367" s="5">
        <f>IF(B367="","",SUM(D367:F367))</f>
        <v>0</v>
      </c>
      <c r="H367">
        <f>IF(B367="","",TEXT(B367,"mmm"))</f>
        <v>0</v>
      </c>
      <c r="I367">
        <f>IF(B367="","",YEAR(B367))</f>
        <v>0</v>
      </c>
      <c r="K367">
        <f>IF(B367="","",YEAR(B367)+IF(MONTH(B367)&gt;=10,1,0))</f>
        <v>0</v>
      </c>
    </row>
    <row r="368">
      <c r="A368">
        <v>364</v>
      </c>
      <c r="G368" s="5">
        <f>IF(B368="","",SUM(D368:F368))</f>
        <v>0</v>
      </c>
      <c r="H368">
        <f>IF(B368="","",TEXT(B368,"mmm"))</f>
        <v>0</v>
      </c>
      <c r="I368">
        <f>IF(B368="","",YEAR(B368))</f>
        <v>0</v>
      </c>
      <c r="K368">
        <f>IF(B368="","",YEAR(B368)+IF(MONTH(B368)&gt;=10,1,0))</f>
        <v>0</v>
      </c>
    </row>
    <row r="369">
      <c r="A369">
        <v>365</v>
      </c>
      <c r="G369" s="5">
        <f>IF(B369="","",SUM(D369:F369))</f>
        <v>0</v>
      </c>
      <c r="H369">
        <f>IF(B369="","",TEXT(B369,"mmm"))</f>
        <v>0</v>
      </c>
      <c r="I369">
        <f>IF(B369="","",YEAR(B369))</f>
        <v>0</v>
      </c>
      <c r="K369">
        <f>IF(B369="","",YEAR(B369)+IF(MONTH(B369)&gt;=10,1,0))</f>
        <v>0</v>
      </c>
    </row>
    <row r="370">
      <c r="A370">
        <v>366</v>
      </c>
      <c r="G370" s="5">
        <f>IF(B370="","",SUM(D370:F370))</f>
        <v>0</v>
      </c>
      <c r="H370">
        <f>IF(B370="","",TEXT(B370,"mmm"))</f>
        <v>0</v>
      </c>
      <c r="I370">
        <f>IF(B370="","",YEAR(B370))</f>
        <v>0</v>
      </c>
      <c r="K370">
        <f>IF(B370="","",YEAR(B370)+IF(MONTH(B370)&gt;=10,1,0))</f>
        <v>0</v>
      </c>
    </row>
    <row r="371">
      <c r="A371">
        <v>367</v>
      </c>
      <c r="G371" s="5">
        <f>IF(B371="","",SUM(D371:F371))</f>
        <v>0</v>
      </c>
      <c r="H371">
        <f>IF(B371="","",TEXT(B371,"mmm"))</f>
        <v>0</v>
      </c>
      <c r="I371">
        <f>IF(B371="","",YEAR(B371))</f>
        <v>0</v>
      </c>
      <c r="K371">
        <f>IF(B371="","",YEAR(B371)+IF(MONTH(B371)&gt;=10,1,0))</f>
        <v>0</v>
      </c>
    </row>
    <row r="372">
      <c r="A372">
        <v>368</v>
      </c>
      <c r="G372" s="5">
        <f>IF(B372="","",SUM(D372:F372))</f>
        <v>0</v>
      </c>
      <c r="H372">
        <f>IF(B372="","",TEXT(B372,"mmm"))</f>
        <v>0</v>
      </c>
      <c r="I372">
        <f>IF(B372="","",YEAR(B372))</f>
        <v>0</v>
      </c>
      <c r="K372">
        <f>IF(B372="","",YEAR(B372)+IF(MONTH(B372)&gt;=10,1,0))</f>
        <v>0</v>
      </c>
    </row>
    <row r="373">
      <c r="A373">
        <v>369</v>
      </c>
      <c r="G373" s="5">
        <f>IF(B373="","",SUM(D373:F373))</f>
        <v>0</v>
      </c>
      <c r="H373">
        <f>IF(B373="","",TEXT(B373,"mmm"))</f>
        <v>0</v>
      </c>
      <c r="I373">
        <f>IF(B373="","",YEAR(B373))</f>
        <v>0</v>
      </c>
      <c r="K373">
        <f>IF(B373="","",YEAR(B373)+IF(MONTH(B373)&gt;=10,1,0))</f>
        <v>0</v>
      </c>
    </row>
    <row r="374">
      <c r="A374">
        <v>370</v>
      </c>
      <c r="G374" s="5">
        <f>IF(B374="","",SUM(D374:F374))</f>
        <v>0</v>
      </c>
      <c r="H374">
        <f>IF(B374="","",TEXT(B374,"mmm"))</f>
        <v>0</v>
      </c>
      <c r="I374">
        <f>IF(B374="","",YEAR(B374))</f>
        <v>0</v>
      </c>
      <c r="K374">
        <f>IF(B374="","",YEAR(B374)+IF(MONTH(B374)&gt;=10,1,0))</f>
        <v>0</v>
      </c>
    </row>
    <row r="375">
      <c r="A375">
        <v>371</v>
      </c>
      <c r="G375" s="5">
        <f>IF(B375="","",SUM(D375:F375))</f>
        <v>0</v>
      </c>
      <c r="H375">
        <f>IF(B375="","",TEXT(B375,"mmm"))</f>
        <v>0</v>
      </c>
      <c r="I375">
        <f>IF(B375="","",YEAR(B375))</f>
        <v>0</v>
      </c>
      <c r="K375">
        <f>IF(B375="","",YEAR(B375)+IF(MONTH(B375)&gt;=10,1,0))</f>
        <v>0</v>
      </c>
    </row>
    <row r="376">
      <c r="A376">
        <v>372</v>
      </c>
      <c r="G376" s="5">
        <f>IF(B376="","",SUM(D376:F376))</f>
        <v>0</v>
      </c>
      <c r="H376">
        <f>IF(B376="","",TEXT(B376,"mmm"))</f>
        <v>0</v>
      </c>
      <c r="I376">
        <f>IF(B376="","",YEAR(B376))</f>
        <v>0</v>
      </c>
      <c r="K376">
        <f>IF(B376="","",YEAR(B376)+IF(MONTH(B376)&gt;=10,1,0))</f>
        <v>0</v>
      </c>
    </row>
    <row r="377">
      <c r="A377">
        <v>373</v>
      </c>
      <c r="G377" s="5">
        <f>IF(B377="","",SUM(D377:F377))</f>
        <v>0</v>
      </c>
      <c r="H377">
        <f>IF(B377="","",TEXT(B377,"mmm"))</f>
        <v>0</v>
      </c>
      <c r="I377">
        <f>IF(B377="","",YEAR(B377))</f>
        <v>0</v>
      </c>
      <c r="K377">
        <f>IF(B377="","",YEAR(B377)+IF(MONTH(B377)&gt;=10,1,0))</f>
        <v>0</v>
      </c>
    </row>
    <row r="378">
      <c r="A378">
        <v>374</v>
      </c>
      <c r="G378" s="5">
        <f>IF(B378="","",SUM(D378:F378))</f>
        <v>0</v>
      </c>
      <c r="H378">
        <f>IF(B378="","",TEXT(B378,"mmm"))</f>
        <v>0</v>
      </c>
      <c r="I378">
        <f>IF(B378="","",YEAR(B378))</f>
        <v>0</v>
      </c>
      <c r="K378">
        <f>IF(B378="","",YEAR(B378)+IF(MONTH(B378)&gt;=10,1,0))</f>
        <v>0</v>
      </c>
    </row>
    <row r="379">
      <c r="A379">
        <v>375</v>
      </c>
      <c r="G379" s="5">
        <f>IF(B379="","",SUM(D379:F379))</f>
        <v>0</v>
      </c>
      <c r="H379">
        <f>IF(B379="","",TEXT(B379,"mmm"))</f>
        <v>0</v>
      </c>
      <c r="I379">
        <f>IF(B379="","",YEAR(B379))</f>
        <v>0</v>
      </c>
      <c r="K379">
        <f>IF(B379="","",YEAR(B379)+IF(MONTH(B379)&gt;=10,1,0))</f>
        <v>0</v>
      </c>
    </row>
    <row r="380">
      <c r="A380">
        <v>376</v>
      </c>
      <c r="G380" s="5">
        <f>IF(B380="","",SUM(D380:F380))</f>
        <v>0</v>
      </c>
      <c r="H380">
        <f>IF(B380="","",TEXT(B380,"mmm"))</f>
        <v>0</v>
      </c>
      <c r="I380">
        <f>IF(B380="","",YEAR(B380))</f>
        <v>0</v>
      </c>
      <c r="K380">
        <f>IF(B380="","",YEAR(B380)+IF(MONTH(B380)&gt;=10,1,0))</f>
        <v>0</v>
      </c>
    </row>
    <row r="381">
      <c r="A381">
        <v>377</v>
      </c>
      <c r="G381" s="5">
        <f>IF(B381="","",SUM(D381:F381))</f>
        <v>0</v>
      </c>
      <c r="H381">
        <f>IF(B381="","",TEXT(B381,"mmm"))</f>
        <v>0</v>
      </c>
      <c r="I381">
        <f>IF(B381="","",YEAR(B381))</f>
        <v>0</v>
      </c>
      <c r="K381">
        <f>IF(B381="","",YEAR(B381)+IF(MONTH(B381)&gt;=10,1,0))</f>
        <v>0</v>
      </c>
    </row>
    <row r="382">
      <c r="A382">
        <v>378</v>
      </c>
      <c r="G382" s="5">
        <f>IF(B382="","",SUM(D382:F382))</f>
        <v>0</v>
      </c>
      <c r="H382">
        <f>IF(B382="","",TEXT(B382,"mmm"))</f>
        <v>0</v>
      </c>
      <c r="I382">
        <f>IF(B382="","",YEAR(B382))</f>
        <v>0</v>
      </c>
      <c r="K382">
        <f>IF(B382="","",YEAR(B382)+IF(MONTH(B382)&gt;=10,1,0))</f>
        <v>0</v>
      </c>
    </row>
    <row r="383">
      <c r="A383">
        <v>379</v>
      </c>
      <c r="G383" s="5">
        <f>IF(B383="","",SUM(D383:F383))</f>
        <v>0</v>
      </c>
      <c r="H383">
        <f>IF(B383="","",TEXT(B383,"mmm"))</f>
        <v>0</v>
      </c>
      <c r="I383">
        <f>IF(B383="","",YEAR(B383))</f>
        <v>0</v>
      </c>
      <c r="K383">
        <f>IF(B383="","",YEAR(B383)+IF(MONTH(B383)&gt;=10,1,0))</f>
        <v>0</v>
      </c>
    </row>
    <row r="384">
      <c r="A384">
        <v>380</v>
      </c>
      <c r="G384" s="5">
        <f>IF(B384="","",SUM(D384:F384))</f>
        <v>0</v>
      </c>
      <c r="H384">
        <f>IF(B384="","",TEXT(B384,"mmm"))</f>
        <v>0</v>
      </c>
      <c r="I384">
        <f>IF(B384="","",YEAR(B384))</f>
        <v>0</v>
      </c>
      <c r="K384">
        <f>IF(B384="","",YEAR(B384)+IF(MONTH(B384)&gt;=10,1,0))</f>
        <v>0</v>
      </c>
    </row>
    <row r="385">
      <c r="A385">
        <v>381</v>
      </c>
      <c r="G385" s="5">
        <f>IF(B385="","",SUM(D385:F385))</f>
        <v>0</v>
      </c>
      <c r="H385">
        <f>IF(B385="","",TEXT(B385,"mmm"))</f>
        <v>0</v>
      </c>
      <c r="I385">
        <f>IF(B385="","",YEAR(B385))</f>
        <v>0</v>
      </c>
      <c r="K385">
        <f>IF(B385="","",YEAR(B385)+IF(MONTH(B385)&gt;=10,1,0))</f>
        <v>0</v>
      </c>
    </row>
    <row r="386">
      <c r="A386">
        <v>382</v>
      </c>
      <c r="G386" s="5">
        <f>IF(B386="","",SUM(D386:F386))</f>
        <v>0</v>
      </c>
      <c r="H386">
        <f>IF(B386="","",TEXT(B386,"mmm"))</f>
        <v>0</v>
      </c>
      <c r="I386">
        <f>IF(B386="","",YEAR(B386))</f>
        <v>0</v>
      </c>
      <c r="K386">
        <f>IF(B386="","",YEAR(B386)+IF(MONTH(B386)&gt;=10,1,0))</f>
        <v>0</v>
      </c>
    </row>
    <row r="387">
      <c r="A387">
        <v>383</v>
      </c>
      <c r="G387" s="5">
        <f>IF(B387="","",SUM(D387:F387))</f>
        <v>0</v>
      </c>
      <c r="H387">
        <f>IF(B387="","",TEXT(B387,"mmm"))</f>
        <v>0</v>
      </c>
      <c r="I387">
        <f>IF(B387="","",YEAR(B387))</f>
        <v>0</v>
      </c>
      <c r="K387">
        <f>IF(B387="","",YEAR(B387)+IF(MONTH(B387)&gt;=10,1,0))</f>
        <v>0</v>
      </c>
    </row>
    <row r="388">
      <c r="A388">
        <v>384</v>
      </c>
      <c r="G388" s="5">
        <f>IF(B388="","",SUM(D388:F388))</f>
        <v>0</v>
      </c>
      <c r="H388">
        <f>IF(B388="","",TEXT(B388,"mmm"))</f>
        <v>0</v>
      </c>
      <c r="I388">
        <f>IF(B388="","",YEAR(B388))</f>
        <v>0</v>
      </c>
      <c r="K388">
        <f>IF(B388="","",YEAR(B388)+IF(MONTH(B388)&gt;=10,1,0))</f>
        <v>0</v>
      </c>
    </row>
    <row r="389">
      <c r="A389">
        <v>385</v>
      </c>
      <c r="G389" s="5">
        <f>IF(B389="","",SUM(D389:F389))</f>
        <v>0</v>
      </c>
      <c r="H389">
        <f>IF(B389="","",TEXT(B389,"mmm"))</f>
        <v>0</v>
      </c>
      <c r="I389">
        <f>IF(B389="","",YEAR(B389))</f>
        <v>0</v>
      </c>
      <c r="K389">
        <f>IF(B389="","",YEAR(B389)+IF(MONTH(B389)&gt;=10,1,0))</f>
        <v>0</v>
      </c>
    </row>
    <row r="390">
      <c r="A390">
        <v>386</v>
      </c>
      <c r="G390" s="5">
        <f>IF(B390="","",SUM(D390:F390))</f>
        <v>0</v>
      </c>
      <c r="H390">
        <f>IF(B390="","",TEXT(B390,"mmm"))</f>
        <v>0</v>
      </c>
      <c r="I390">
        <f>IF(B390="","",YEAR(B390))</f>
        <v>0</v>
      </c>
      <c r="K390">
        <f>IF(B390="","",YEAR(B390)+IF(MONTH(B390)&gt;=10,1,0))</f>
        <v>0</v>
      </c>
    </row>
    <row r="391">
      <c r="A391">
        <v>387</v>
      </c>
      <c r="G391" s="5">
        <f>IF(B391="","",SUM(D391:F391))</f>
        <v>0</v>
      </c>
      <c r="H391">
        <f>IF(B391="","",TEXT(B391,"mmm"))</f>
        <v>0</v>
      </c>
      <c r="I391">
        <f>IF(B391="","",YEAR(B391))</f>
        <v>0</v>
      </c>
      <c r="K391">
        <f>IF(B391="","",YEAR(B391)+IF(MONTH(B391)&gt;=10,1,0))</f>
        <v>0</v>
      </c>
    </row>
    <row r="392">
      <c r="A392">
        <v>388</v>
      </c>
      <c r="G392" s="5">
        <f>IF(B392="","",SUM(D392:F392))</f>
        <v>0</v>
      </c>
      <c r="H392">
        <f>IF(B392="","",TEXT(B392,"mmm"))</f>
        <v>0</v>
      </c>
      <c r="I392">
        <f>IF(B392="","",YEAR(B392))</f>
        <v>0</v>
      </c>
      <c r="K392">
        <f>IF(B392="","",YEAR(B392)+IF(MONTH(B392)&gt;=10,1,0))</f>
        <v>0</v>
      </c>
    </row>
    <row r="393">
      <c r="A393">
        <v>389</v>
      </c>
      <c r="G393" s="5">
        <f>IF(B393="","",SUM(D393:F393))</f>
        <v>0</v>
      </c>
      <c r="H393">
        <f>IF(B393="","",TEXT(B393,"mmm"))</f>
        <v>0</v>
      </c>
      <c r="I393">
        <f>IF(B393="","",YEAR(B393))</f>
        <v>0</v>
      </c>
      <c r="K393">
        <f>IF(B393="","",YEAR(B393)+IF(MONTH(B393)&gt;=10,1,0))</f>
        <v>0</v>
      </c>
    </row>
    <row r="394">
      <c r="A394">
        <v>390</v>
      </c>
      <c r="G394" s="5">
        <f>IF(B394="","",SUM(D394:F394))</f>
        <v>0</v>
      </c>
      <c r="H394">
        <f>IF(B394="","",TEXT(B394,"mmm"))</f>
        <v>0</v>
      </c>
      <c r="I394">
        <f>IF(B394="","",YEAR(B394))</f>
        <v>0</v>
      </c>
      <c r="K394">
        <f>IF(B394="","",YEAR(B394)+IF(MONTH(B394)&gt;=10,1,0))</f>
        <v>0</v>
      </c>
    </row>
    <row r="395">
      <c r="A395">
        <v>391</v>
      </c>
      <c r="G395" s="5">
        <f>IF(B395="","",SUM(D395:F395))</f>
        <v>0</v>
      </c>
      <c r="H395">
        <f>IF(B395="","",TEXT(B395,"mmm"))</f>
        <v>0</v>
      </c>
      <c r="I395">
        <f>IF(B395="","",YEAR(B395))</f>
        <v>0</v>
      </c>
      <c r="K395">
        <f>IF(B395="","",YEAR(B395)+IF(MONTH(B395)&gt;=10,1,0))</f>
        <v>0</v>
      </c>
    </row>
    <row r="396">
      <c r="A396">
        <v>392</v>
      </c>
      <c r="G396" s="5">
        <f>IF(B396="","",SUM(D396:F396))</f>
        <v>0</v>
      </c>
      <c r="H396">
        <f>IF(B396="","",TEXT(B396,"mmm"))</f>
        <v>0</v>
      </c>
      <c r="I396">
        <f>IF(B396="","",YEAR(B396))</f>
        <v>0</v>
      </c>
      <c r="K396">
        <f>IF(B396="","",YEAR(B396)+IF(MONTH(B396)&gt;=10,1,0))</f>
        <v>0</v>
      </c>
    </row>
    <row r="397">
      <c r="A397">
        <v>393</v>
      </c>
      <c r="G397" s="5">
        <f>IF(B397="","",SUM(D397:F397))</f>
        <v>0</v>
      </c>
      <c r="H397">
        <f>IF(B397="","",TEXT(B397,"mmm"))</f>
        <v>0</v>
      </c>
      <c r="I397">
        <f>IF(B397="","",YEAR(B397))</f>
        <v>0</v>
      </c>
      <c r="K397">
        <f>IF(B397="","",YEAR(B397)+IF(MONTH(B397)&gt;=10,1,0))</f>
        <v>0</v>
      </c>
    </row>
    <row r="398">
      <c r="A398">
        <v>394</v>
      </c>
      <c r="G398" s="5">
        <f>IF(B398="","",SUM(D398:F398))</f>
        <v>0</v>
      </c>
      <c r="H398">
        <f>IF(B398="","",TEXT(B398,"mmm"))</f>
        <v>0</v>
      </c>
      <c r="I398">
        <f>IF(B398="","",YEAR(B398))</f>
        <v>0</v>
      </c>
      <c r="K398">
        <f>IF(B398="","",YEAR(B398)+IF(MONTH(B398)&gt;=10,1,0))</f>
        <v>0</v>
      </c>
    </row>
    <row r="399">
      <c r="A399">
        <v>395</v>
      </c>
      <c r="G399" s="5">
        <f>IF(B399="","",SUM(D399:F399))</f>
        <v>0</v>
      </c>
      <c r="H399">
        <f>IF(B399="","",TEXT(B399,"mmm"))</f>
        <v>0</v>
      </c>
      <c r="I399">
        <f>IF(B399="","",YEAR(B399))</f>
        <v>0</v>
      </c>
      <c r="K399">
        <f>IF(B399="","",YEAR(B399)+IF(MONTH(B399)&gt;=10,1,0))</f>
        <v>0</v>
      </c>
    </row>
    <row r="400">
      <c r="A400">
        <v>396</v>
      </c>
      <c r="G400" s="5">
        <f>IF(B400="","",SUM(D400:F400))</f>
        <v>0</v>
      </c>
      <c r="H400">
        <f>IF(B400="","",TEXT(B400,"mmm"))</f>
        <v>0</v>
      </c>
      <c r="I400">
        <f>IF(B400="","",YEAR(B400))</f>
        <v>0</v>
      </c>
      <c r="K400">
        <f>IF(B400="","",YEAR(B400)+IF(MONTH(B400)&gt;=10,1,0))</f>
        <v>0</v>
      </c>
    </row>
    <row r="401">
      <c r="A401">
        <v>397</v>
      </c>
      <c r="G401" s="5">
        <f>IF(B401="","",SUM(D401:F401))</f>
        <v>0</v>
      </c>
      <c r="H401">
        <f>IF(B401="","",TEXT(B401,"mmm"))</f>
        <v>0</v>
      </c>
      <c r="I401">
        <f>IF(B401="","",YEAR(B401))</f>
        <v>0</v>
      </c>
      <c r="K401">
        <f>IF(B401="","",YEAR(B401)+IF(MONTH(B401)&gt;=10,1,0))</f>
        <v>0</v>
      </c>
    </row>
    <row r="402">
      <c r="A402">
        <v>398</v>
      </c>
      <c r="G402" s="5">
        <f>IF(B402="","",SUM(D402:F402))</f>
        <v>0</v>
      </c>
      <c r="H402">
        <f>IF(B402="","",TEXT(B402,"mmm"))</f>
        <v>0</v>
      </c>
      <c r="I402">
        <f>IF(B402="","",YEAR(B402))</f>
        <v>0</v>
      </c>
      <c r="K402">
        <f>IF(B402="","",YEAR(B402)+IF(MONTH(B402)&gt;=10,1,0))</f>
        <v>0</v>
      </c>
    </row>
    <row r="403">
      <c r="A403">
        <v>399</v>
      </c>
      <c r="G403" s="5">
        <f>IF(B403="","",SUM(D403:F403))</f>
        <v>0</v>
      </c>
      <c r="H403">
        <f>IF(B403="","",TEXT(B403,"mmm"))</f>
        <v>0</v>
      </c>
      <c r="I403">
        <f>IF(B403="","",YEAR(B403))</f>
        <v>0</v>
      </c>
      <c r="K403">
        <f>IF(B403="","",YEAR(B403)+IF(MONTH(B403)&gt;=10,1,0))</f>
        <v>0</v>
      </c>
    </row>
    <row r="404">
      <c r="A404">
        <v>400</v>
      </c>
      <c r="G404" s="5">
        <f>IF(B404="","",SUM(D404:F404))</f>
        <v>0</v>
      </c>
      <c r="H404">
        <f>IF(B404="","",TEXT(B404,"mmm"))</f>
        <v>0</v>
      </c>
      <c r="I404">
        <f>IF(B404="","",YEAR(B404))</f>
        <v>0</v>
      </c>
      <c r="K404">
        <f>IF(B404="","",YEAR(B404)+IF(MONTH(B404)&gt;=10,1,0))</f>
        <v>0</v>
      </c>
    </row>
    <row r="405">
      <c r="A405">
        <v>401</v>
      </c>
      <c r="G405" s="5">
        <f>IF(B405="","",SUM(D405:F405))</f>
        <v>0</v>
      </c>
      <c r="H405">
        <f>IF(B405="","",TEXT(B405,"mmm"))</f>
        <v>0</v>
      </c>
      <c r="I405">
        <f>IF(B405="","",YEAR(B405))</f>
        <v>0</v>
      </c>
      <c r="K405">
        <f>IF(B405="","",YEAR(B405)+IF(MONTH(B405)&gt;=10,1,0))</f>
        <v>0</v>
      </c>
    </row>
    <row r="406">
      <c r="A406">
        <v>402</v>
      </c>
      <c r="G406" s="5">
        <f>IF(B406="","",SUM(D406:F406))</f>
        <v>0</v>
      </c>
      <c r="H406">
        <f>IF(B406="","",TEXT(B406,"mmm"))</f>
        <v>0</v>
      </c>
      <c r="I406">
        <f>IF(B406="","",YEAR(B406))</f>
        <v>0</v>
      </c>
      <c r="K406">
        <f>IF(B406="","",YEAR(B406)+IF(MONTH(B406)&gt;=10,1,0))</f>
        <v>0</v>
      </c>
    </row>
    <row r="407">
      <c r="A407">
        <v>403</v>
      </c>
      <c r="G407" s="5">
        <f>IF(B407="","",SUM(D407:F407))</f>
        <v>0</v>
      </c>
      <c r="H407">
        <f>IF(B407="","",TEXT(B407,"mmm"))</f>
        <v>0</v>
      </c>
      <c r="I407">
        <f>IF(B407="","",YEAR(B407))</f>
        <v>0</v>
      </c>
      <c r="K407">
        <f>IF(B407="","",YEAR(B407)+IF(MONTH(B407)&gt;=10,1,0))</f>
        <v>0</v>
      </c>
    </row>
    <row r="408">
      <c r="A408">
        <v>404</v>
      </c>
      <c r="G408" s="5">
        <f>IF(B408="","",SUM(D408:F408))</f>
        <v>0</v>
      </c>
      <c r="H408">
        <f>IF(B408="","",TEXT(B408,"mmm"))</f>
        <v>0</v>
      </c>
      <c r="I408">
        <f>IF(B408="","",YEAR(B408))</f>
        <v>0</v>
      </c>
      <c r="K408">
        <f>IF(B408="","",YEAR(B408)+IF(MONTH(B408)&gt;=10,1,0))</f>
        <v>0</v>
      </c>
    </row>
    <row r="409">
      <c r="A409">
        <v>405</v>
      </c>
      <c r="G409" s="5">
        <f>IF(B409="","",SUM(D409:F409))</f>
        <v>0</v>
      </c>
      <c r="H409">
        <f>IF(B409="","",TEXT(B409,"mmm"))</f>
        <v>0</v>
      </c>
      <c r="I409">
        <f>IF(B409="","",YEAR(B409))</f>
        <v>0</v>
      </c>
      <c r="K409">
        <f>IF(B409="","",YEAR(B409)+IF(MONTH(B409)&gt;=10,1,0))</f>
        <v>0</v>
      </c>
    </row>
    <row r="410">
      <c r="A410">
        <v>406</v>
      </c>
      <c r="G410" s="5">
        <f>IF(B410="","",SUM(D410:F410))</f>
        <v>0</v>
      </c>
      <c r="H410">
        <f>IF(B410="","",TEXT(B410,"mmm"))</f>
        <v>0</v>
      </c>
      <c r="I410">
        <f>IF(B410="","",YEAR(B410))</f>
        <v>0</v>
      </c>
      <c r="K410">
        <f>IF(B410="","",YEAR(B410)+IF(MONTH(B410)&gt;=10,1,0))</f>
        <v>0</v>
      </c>
    </row>
    <row r="411">
      <c r="A411">
        <v>407</v>
      </c>
      <c r="G411" s="5">
        <f>IF(B411="","",SUM(D411:F411))</f>
        <v>0</v>
      </c>
      <c r="H411">
        <f>IF(B411="","",TEXT(B411,"mmm"))</f>
        <v>0</v>
      </c>
      <c r="I411">
        <f>IF(B411="","",YEAR(B411))</f>
        <v>0</v>
      </c>
      <c r="K411">
        <f>IF(B411="","",YEAR(B411)+IF(MONTH(B411)&gt;=10,1,0))</f>
        <v>0</v>
      </c>
    </row>
    <row r="412">
      <c r="A412">
        <v>408</v>
      </c>
      <c r="G412" s="5">
        <f>IF(B412="","",SUM(D412:F412))</f>
        <v>0</v>
      </c>
      <c r="H412">
        <f>IF(B412="","",TEXT(B412,"mmm"))</f>
        <v>0</v>
      </c>
      <c r="I412">
        <f>IF(B412="","",YEAR(B412))</f>
        <v>0</v>
      </c>
      <c r="K412">
        <f>IF(B412="","",YEAR(B412)+IF(MONTH(B412)&gt;=10,1,0))</f>
        <v>0</v>
      </c>
    </row>
    <row r="413">
      <c r="A413">
        <v>409</v>
      </c>
      <c r="G413" s="5">
        <f>IF(B413="","",SUM(D413:F413))</f>
        <v>0</v>
      </c>
      <c r="H413">
        <f>IF(B413="","",TEXT(B413,"mmm"))</f>
        <v>0</v>
      </c>
      <c r="I413">
        <f>IF(B413="","",YEAR(B413))</f>
        <v>0</v>
      </c>
      <c r="K413">
        <f>IF(B413="","",YEAR(B413)+IF(MONTH(B413)&gt;=10,1,0))</f>
        <v>0</v>
      </c>
    </row>
    <row r="414">
      <c r="A414">
        <v>410</v>
      </c>
      <c r="G414" s="5">
        <f>IF(B414="","",SUM(D414:F414))</f>
        <v>0</v>
      </c>
      <c r="H414">
        <f>IF(B414="","",TEXT(B414,"mmm"))</f>
        <v>0</v>
      </c>
      <c r="I414">
        <f>IF(B414="","",YEAR(B414))</f>
        <v>0</v>
      </c>
      <c r="K414">
        <f>IF(B414="","",YEAR(B414)+IF(MONTH(B414)&gt;=10,1,0))</f>
        <v>0</v>
      </c>
    </row>
    <row r="415">
      <c r="A415">
        <v>411</v>
      </c>
      <c r="G415" s="5">
        <f>IF(B415="","",SUM(D415:F415))</f>
        <v>0</v>
      </c>
      <c r="H415">
        <f>IF(B415="","",TEXT(B415,"mmm"))</f>
        <v>0</v>
      </c>
      <c r="I415">
        <f>IF(B415="","",YEAR(B415))</f>
        <v>0</v>
      </c>
      <c r="K415">
        <f>IF(B415="","",YEAR(B415)+IF(MONTH(B415)&gt;=10,1,0))</f>
        <v>0</v>
      </c>
    </row>
    <row r="416">
      <c r="A416">
        <v>412</v>
      </c>
      <c r="G416" s="5">
        <f>IF(B416="","",SUM(D416:F416))</f>
        <v>0</v>
      </c>
      <c r="H416">
        <f>IF(B416="","",TEXT(B416,"mmm"))</f>
        <v>0</v>
      </c>
      <c r="I416">
        <f>IF(B416="","",YEAR(B416))</f>
        <v>0</v>
      </c>
      <c r="K416">
        <f>IF(B416="","",YEAR(B416)+IF(MONTH(B416)&gt;=10,1,0))</f>
        <v>0</v>
      </c>
    </row>
    <row r="417">
      <c r="A417">
        <v>413</v>
      </c>
      <c r="G417" s="5">
        <f>IF(B417="","",SUM(D417:F417))</f>
        <v>0</v>
      </c>
      <c r="H417">
        <f>IF(B417="","",TEXT(B417,"mmm"))</f>
        <v>0</v>
      </c>
      <c r="I417">
        <f>IF(B417="","",YEAR(B417))</f>
        <v>0</v>
      </c>
      <c r="K417">
        <f>IF(B417="","",YEAR(B417)+IF(MONTH(B417)&gt;=10,1,0))</f>
        <v>0</v>
      </c>
    </row>
    <row r="418">
      <c r="A418">
        <v>414</v>
      </c>
      <c r="G418" s="5">
        <f>IF(B418="","",SUM(D418:F418))</f>
        <v>0</v>
      </c>
      <c r="H418">
        <f>IF(B418="","",TEXT(B418,"mmm"))</f>
        <v>0</v>
      </c>
      <c r="I418">
        <f>IF(B418="","",YEAR(B418))</f>
        <v>0</v>
      </c>
      <c r="K418">
        <f>IF(B418="","",YEAR(B418)+IF(MONTH(B418)&gt;=10,1,0))</f>
        <v>0</v>
      </c>
    </row>
    <row r="419">
      <c r="A419">
        <v>415</v>
      </c>
      <c r="G419" s="5">
        <f>IF(B419="","",SUM(D419:F419))</f>
        <v>0</v>
      </c>
      <c r="H419">
        <f>IF(B419="","",TEXT(B419,"mmm"))</f>
        <v>0</v>
      </c>
      <c r="I419">
        <f>IF(B419="","",YEAR(B419))</f>
        <v>0</v>
      </c>
      <c r="K419">
        <f>IF(B419="","",YEAR(B419)+IF(MONTH(B419)&gt;=10,1,0))</f>
        <v>0</v>
      </c>
    </row>
    <row r="420">
      <c r="A420">
        <v>416</v>
      </c>
      <c r="G420" s="5">
        <f>IF(B420="","",SUM(D420:F420))</f>
        <v>0</v>
      </c>
      <c r="H420">
        <f>IF(B420="","",TEXT(B420,"mmm"))</f>
        <v>0</v>
      </c>
      <c r="I420">
        <f>IF(B420="","",YEAR(B420))</f>
        <v>0</v>
      </c>
      <c r="K420">
        <f>IF(B420="","",YEAR(B420)+IF(MONTH(B420)&gt;=10,1,0))</f>
        <v>0</v>
      </c>
    </row>
    <row r="421">
      <c r="A421">
        <v>417</v>
      </c>
      <c r="G421" s="5">
        <f>IF(B421="","",SUM(D421:F421))</f>
        <v>0</v>
      </c>
      <c r="H421">
        <f>IF(B421="","",TEXT(B421,"mmm"))</f>
        <v>0</v>
      </c>
      <c r="I421">
        <f>IF(B421="","",YEAR(B421))</f>
        <v>0</v>
      </c>
      <c r="K421">
        <f>IF(B421="","",YEAR(B421)+IF(MONTH(B421)&gt;=10,1,0))</f>
        <v>0</v>
      </c>
    </row>
    <row r="422">
      <c r="A422">
        <v>418</v>
      </c>
      <c r="G422" s="5">
        <f>IF(B422="","",SUM(D422:F422))</f>
        <v>0</v>
      </c>
      <c r="H422">
        <f>IF(B422="","",TEXT(B422,"mmm"))</f>
        <v>0</v>
      </c>
      <c r="I422">
        <f>IF(B422="","",YEAR(B422))</f>
        <v>0</v>
      </c>
      <c r="K422">
        <f>IF(B422="","",YEAR(B422)+IF(MONTH(B422)&gt;=10,1,0))</f>
        <v>0</v>
      </c>
    </row>
    <row r="423">
      <c r="A423">
        <v>419</v>
      </c>
      <c r="G423" s="5">
        <f>IF(B423="","",SUM(D423:F423))</f>
        <v>0</v>
      </c>
      <c r="H423">
        <f>IF(B423="","",TEXT(B423,"mmm"))</f>
        <v>0</v>
      </c>
      <c r="I423">
        <f>IF(B423="","",YEAR(B423))</f>
        <v>0</v>
      </c>
      <c r="K423">
        <f>IF(B423="","",YEAR(B423)+IF(MONTH(B423)&gt;=10,1,0))</f>
        <v>0</v>
      </c>
    </row>
    <row r="424">
      <c r="A424">
        <v>420</v>
      </c>
      <c r="G424" s="5">
        <f>IF(B424="","",SUM(D424:F424))</f>
        <v>0</v>
      </c>
      <c r="H424">
        <f>IF(B424="","",TEXT(B424,"mmm"))</f>
        <v>0</v>
      </c>
      <c r="I424">
        <f>IF(B424="","",YEAR(B424))</f>
        <v>0</v>
      </c>
      <c r="K424">
        <f>IF(B424="","",YEAR(B424)+IF(MONTH(B424)&gt;=10,1,0))</f>
        <v>0</v>
      </c>
    </row>
    <row r="425">
      <c r="A425">
        <v>421</v>
      </c>
      <c r="G425" s="5">
        <f>IF(B425="","",SUM(D425:F425))</f>
        <v>0</v>
      </c>
      <c r="H425">
        <f>IF(B425="","",TEXT(B425,"mmm"))</f>
        <v>0</v>
      </c>
      <c r="I425">
        <f>IF(B425="","",YEAR(B425))</f>
        <v>0</v>
      </c>
      <c r="K425">
        <f>IF(B425="","",YEAR(B425)+IF(MONTH(B425)&gt;=10,1,0))</f>
        <v>0</v>
      </c>
    </row>
    <row r="426">
      <c r="A426">
        <v>422</v>
      </c>
      <c r="G426" s="5">
        <f>IF(B426="","",SUM(D426:F426))</f>
        <v>0</v>
      </c>
      <c r="H426">
        <f>IF(B426="","",TEXT(B426,"mmm"))</f>
        <v>0</v>
      </c>
      <c r="I426">
        <f>IF(B426="","",YEAR(B426))</f>
        <v>0</v>
      </c>
      <c r="K426">
        <f>IF(B426="","",YEAR(B426)+IF(MONTH(B426)&gt;=10,1,0))</f>
        <v>0</v>
      </c>
    </row>
    <row r="427">
      <c r="A427">
        <v>423</v>
      </c>
      <c r="G427" s="5">
        <f>IF(B427="","",SUM(D427:F427))</f>
        <v>0</v>
      </c>
      <c r="H427">
        <f>IF(B427="","",TEXT(B427,"mmm"))</f>
        <v>0</v>
      </c>
      <c r="I427">
        <f>IF(B427="","",YEAR(B427))</f>
        <v>0</v>
      </c>
      <c r="K427">
        <f>IF(B427="","",YEAR(B427)+IF(MONTH(B427)&gt;=10,1,0))</f>
        <v>0</v>
      </c>
    </row>
    <row r="428">
      <c r="A428">
        <v>424</v>
      </c>
      <c r="G428" s="5">
        <f>IF(B428="","",SUM(D428:F428))</f>
        <v>0</v>
      </c>
      <c r="H428">
        <f>IF(B428="","",TEXT(B428,"mmm"))</f>
        <v>0</v>
      </c>
      <c r="I428">
        <f>IF(B428="","",YEAR(B428))</f>
        <v>0</v>
      </c>
      <c r="K428">
        <f>IF(B428="","",YEAR(B428)+IF(MONTH(B428)&gt;=10,1,0))</f>
        <v>0</v>
      </c>
    </row>
    <row r="429">
      <c r="A429">
        <v>425</v>
      </c>
      <c r="G429" s="5">
        <f>IF(B429="","",SUM(D429:F429))</f>
        <v>0</v>
      </c>
      <c r="H429">
        <f>IF(B429="","",TEXT(B429,"mmm"))</f>
        <v>0</v>
      </c>
      <c r="I429">
        <f>IF(B429="","",YEAR(B429))</f>
        <v>0</v>
      </c>
      <c r="K429">
        <f>IF(B429="","",YEAR(B429)+IF(MONTH(B429)&gt;=10,1,0))</f>
        <v>0</v>
      </c>
    </row>
    <row r="430">
      <c r="A430">
        <v>426</v>
      </c>
      <c r="G430" s="5">
        <f>IF(B430="","",SUM(D430:F430))</f>
        <v>0</v>
      </c>
      <c r="H430">
        <f>IF(B430="","",TEXT(B430,"mmm"))</f>
        <v>0</v>
      </c>
      <c r="I430">
        <f>IF(B430="","",YEAR(B430))</f>
        <v>0</v>
      </c>
      <c r="K430">
        <f>IF(B430="","",YEAR(B430)+IF(MONTH(B430)&gt;=10,1,0))</f>
        <v>0</v>
      </c>
    </row>
    <row r="431">
      <c r="A431">
        <v>427</v>
      </c>
      <c r="G431" s="5">
        <f>IF(B431="","",SUM(D431:F431))</f>
        <v>0</v>
      </c>
      <c r="H431">
        <f>IF(B431="","",TEXT(B431,"mmm"))</f>
        <v>0</v>
      </c>
      <c r="I431">
        <f>IF(B431="","",YEAR(B431))</f>
        <v>0</v>
      </c>
      <c r="K431">
        <f>IF(B431="","",YEAR(B431)+IF(MONTH(B431)&gt;=10,1,0))</f>
        <v>0</v>
      </c>
    </row>
    <row r="432">
      <c r="A432">
        <v>428</v>
      </c>
      <c r="G432" s="5">
        <f>IF(B432="","",SUM(D432:F432))</f>
        <v>0</v>
      </c>
      <c r="H432">
        <f>IF(B432="","",TEXT(B432,"mmm"))</f>
        <v>0</v>
      </c>
      <c r="I432">
        <f>IF(B432="","",YEAR(B432))</f>
        <v>0</v>
      </c>
      <c r="K432">
        <f>IF(B432="","",YEAR(B432)+IF(MONTH(B432)&gt;=10,1,0))</f>
        <v>0</v>
      </c>
    </row>
    <row r="433">
      <c r="A433">
        <v>429</v>
      </c>
      <c r="G433" s="5">
        <f>IF(B433="","",SUM(D433:F433))</f>
        <v>0</v>
      </c>
      <c r="H433">
        <f>IF(B433="","",TEXT(B433,"mmm"))</f>
        <v>0</v>
      </c>
      <c r="I433">
        <f>IF(B433="","",YEAR(B433))</f>
        <v>0</v>
      </c>
      <c r="K433">
        <f>IF(B433="","",YEAR(B433)+IF(MONTH(B433)&gt;=10,1,0))</f>
        <v>0</v>
      </c>
    </row>
    <row r="434">
      <c r="A434">
        <v>430</v>
      </c>
      <c r="G434" s="5">
        <f>IF(B434="","",SUM(D434:F434))</f>
        <v>0</v>
      </c>
      <c r="H434">
        <f>IF(B434="","",TEXT(B434,"mmm"))</f>
        <v>0</v>
      </c>
      <c r="I434">
        <f>IF(B434="","",YEAR(B434))</f>
        <v>0</v>
      </c>
      <c r="K434">
        <f>IF(B434="","",YEAR(B434)+IF(MONTH(B434)&gt;=10,1,0))</f>
        <v>0</v>
      </c>
    </row>
    <row r="435">
      <c r="A435">
        <v>431</v>
      </c>
      <c r="G435" s="5">
        <f>IF(B435="","",SUM(D435:F435))</f>
        <v>0</v>
      </c>
      <c r="H435">
        <f>IF(B435="","",TEXT(B435,"mmm"))</f>
        <v>0</v>
      </c>
      <c r="I435">
        <f>IF(B435="","",YEAR(B435))</f>
        <v>0</v>
      </c>
      <c r="K435">
        <f>IF(B435="","",YEAR(B435)+IF(MONTH(B435)&gt;=10,1,0))</f>
        <v>0</v>
      </c>
    </row>
    <row r="436">
      <c r="A436">
        <v>432</v>
      </c>
      <c r="G436" s="5">
        <f>IF(B436="","",SUM(D436:F436))</f>
        <v>0</v>
      </c>
      <c r="H436">
        <f>IF(B436="","",TEXT(B436,"mmm"))</f>
        <v>0</v>
      </c>
      <c r="I436">
        <f>IF(B436="","",YEAR(B436))</f>
        <v>0</v>
      </c>
      <c r="K436">
        <f>IF(B436="","",YEAR(B436)+IF(MONTH(B436)&gt;=10,1,0))</f>
        <v>0</v>
      </c>
    </row>
    <row r="437">
      <c r="A437">
        <v>433</v>
      </c>
      <c r="G437" s="5">
        <f>IF(B437="","",SUM(D437:F437))</f>
        <v>0</v>
      </c>
      <c r="H437">
        <f>IF(B437="","",TEXT(B437,"mmm"))</f>
        <v>0</v>
      </c>
      <c r="I437">
        <f>IF(B437="","",YEAR(B437))</f>
        <v>0</v>
      </c>
      <c r="K437">
        <f>IF(B437="","",YEAR(B437)+IF(MONTH(B437)&gt;=10,1,0))</f>
        <v>0</v>
      </c>
    </row>
    <row r="438">
      <c r="A438">
        <v>434</v>
      </c>
      <c r="G438" s="5">
        <f>IF(B438="","",SUM(D438:F438))</f>
        <v>0</v>
      </c>
      <c r="H438">
        <f>IF(B438="","",TEXT(B438,"mmm"))</f>
        <v>0</v>
      </c>
      <c r="I438">
        <f>IF(B438="","",YEAR(B438))</f>
        <v>0</v>
      </c>
      <c r="K438">
        <f>IF(B438="","",YEAR(B438)+IF(MONTH(B438)&gt;=10,1,0))</f>
        <v>0</v>
      </c>
    </row>
    <row r="439">
      <c r="A439">
        <v>435</v>
      </c>
      <c r="G439" s="5">
        <f>IF(B439="","",SUM(D439:F439))</f>
        <v>0</v>
      </c>
      <c r="H439">
        <f>IF(B439="","",TEXT(B439,"mmm"))</f>
        <v>0</v>
      </c>
      <c r="I439">
        <f>IF(B439="","",YEAR(B439))</f>
        <v>0</v>
      </c>
      <c r="K439">
        <f>IF(B439="","",YEAR(B439)+IF(MONTH(B439)&gt;=10,1,0))</f>
        <v>0</v>
      </c>
    </row>
    <row r="440">
      <c r="A440">
        <v>436</v>
      </c>
      <c r="G440" s="5">
        <f>IF(B440="","",SUM(D440:F440))</f>
        <v>0</v>
      </c>
      <c r="H440">
        <f>IF(B440="","",TEXT(B440,"mmm"))</f>
        <v>0</v>
      </c>
      <c r="I440">
        <f>IF(B440="","",YEAR(B440))</f>
        <v>0</v>
      </c>
      <c r="K440">
        <f>IF(B440="","",YEAR(B440)+IF(MONTH(B440)&gt;=10,1,0))</f>
        <v>0</v>
      </c>
    </row>
    <row r="441">
      <c r="A441">
        <v>437</v>
      </c>
      <c r="G441" s="5">
        <f>IF(B441="","",SUM(D441:F441))</f>
        <v>0</v>
      </c>
      <c r="H441">
        <f>IF(B441="","",TEXT(B441,"mmm"))</f>
        <v>0</v>
      </c>
      <c r="I441">
        <f>IF(B441="","",YEAR(B441))</f>
        <v>0</v>
      </c>
      <c r="K441">
        <f>IF(B441="","",YEAR(B441)+IF(MONTH(B441)&gt;=10,1,0))</f>
        <v>0</v>
      </c>
    </row>
    <row r="442">
      <c r="A442">
        <v>438</v>
      </c>
      <c r="G442" s="5">
        <f>IF(B442="","",SUM(D442:F442))</f>
        <v>0</v>
      </c>
      <c r="H442">
        <f>IF(B442="","",TEXT(B442,"mmm"))</f>
        <v>0</v>
      </c>
      <c r="I442">
        <f>IF(B442="","",YEAR(B442))</f>
        <v>0</v>
      </c>
      <c r="K442">
        <f>IF(B442="","",YEAR(B442)+IF(MONTH(B442)&gt;=10,1,0))</f>
        <v>0</v>
      </c>
    </row>
    <row r="443">
      <c r="A443">
        <v>439</v>
      </c>
      <c r="G443" s="5">
        <f>IF(B443="","",SUM(D443:F443))</f>
        <v>0</v>
      </c>
      <c r="H443">
        <f>IF(B443="","",TEXT(B443,"mmm"))</f>
        <v>0</v>
      </c>
      <c r="I443">
        <f>IF(B443="","",YEAR(B443))</f>
        <v>0</v>
      </c>
      <c r="K443">
        <f>IF(B443="","",YEAR(B443)+IF(MONTH(B443)&gt;=10,1,0))</f>
        <v>0</v>
      </c>
    </row>
    <row r="444">
      <c r="A444">
        <v>440</v>
      </c>
      <c r="G444" s="5">
        <f>IF(B444="","",SUM(D444:F444))</f>
        <v>0</v>
      </c>
      <c r="H444">
        <f>IF(B444="","",TEXT(B444,"mmm"))</f>
        <v>0</v>
      </c>
      <c r="I444">
        <f>IF(B444="","",YEAR(B444))</f>
        <v>0</v>
      </c>
      <c r="K444">
        <f>IF(B444="","",YEAR(B444)+IF(MONTH(B444)&gt;=10,1,0))</f>
        <v>0</v>
      </c>
    </row>
    <row r="445">
      <c r="A445">
        <v>441</v>
      </c>
      <c r="G445" s="5">
        <f>IF(B445="","",SUM(D445:F445))</f>
        <v>0</v>
      </c>
      <c r="H445">
        <f>IF(B445="","",TEXT(B445,"mmm"))</f>
        <v>0</v>
      </c>
      <c r="I445">
        <f>IF(B445="","",YEAR(B445))</f>
        <v>0</v>
      </c>
      <c r="K445">
        <f>IF(B445="","",YEAR(B445)+IF(MONTH(B445)&gt;=10,1,0))</f>
        <v>0</v>
      </c>
    </row>
    <row r="446">
      <c r="A446">
        <v>442</v>
      </c>
      <c r="G446" s="5">
        <f>IF(B446="","",SUM(D446:F446))</f>
        <v>0</v>
      </c>
      <c r="H446">
        <f>IF(B446="","",TEXT(B446,"mmm"))</f>
        <v>0</v>
      </c>
      <c r="I446">
        <f>IF(B446="","",YEAR(B446))</f>
        <v>0</v>
      </c>
      <c r="K446">
        <f>IF(B446="","",YEAR(B446)+IF(MONTH(B446)&gt;=10,1,0))</f>
        <v>0</v>
      </c>
    </row>
    <row r="447">
      <c r="A447">
        <v>443</v>
      </c>
      <c r="G447" s="5">
        <f>IF(B447="","",SUM(D447:F447))</f>
        <v>0</v>
      </c>
      <c r="H447">
        <f>IF(B447="","",TEXT(B447,"mmm"))</f>
        <v>0</v>
      </c>
      <c r="I447">
        <f>IF(B447="","",YEAR(B447))</f>
        <v>0</v>
      </c>
      <c r="K447">
        <f>IF(B447="","",YEAR(B447)+IF(MONTH(B447)&gt;=10,1,0))</f>
        <v>0</v>
      </c>
    </row>
    <row r="448">
      <c r="A448">
        <v>444</v>
      </c>
      <c r="G448" s="5">
        <f>IF(B448="","",SUM(D448:F448))</f>
        <v>0</v>
      </c>
      <c r="H448">
        <f>IF(B448="","",TEXT(B448,"mmm"))</f>
        <v>0</v>
      </c>
      <c r="I448">
        <f>IF(B448="","",YEAR(B448))</f>
        <v>0</v>
      </c>
      <c r="K448">
        <f>IF(B448="","",YEAR(B448)+IF(MONTH(B448)&gt;=10,1,0))</f>
        <v>0</v>
      </c>
    </row>
    <row r="449">
      <c r="A449">
        <v>445</v>
      </c>
      <c r="G449" s="5">
        <f>IF(B449="","",SUM(D449:F449))</f>
        <v>0</v>
      </c>
      <c r="H449">
        <f>IF(B449="","",TEXT(B449,"mmm"))</f>
        <v>0</v>
      </c>
      <c r="I449">
        <f>IF(B449="","",YEAR(B449))</f>
        <v>0</v>
      </c>
      <c r="K449">
        <f>IF(B449="","",YEAR(B449)+IF(MONTH(B449)&gt;=10,1,0))</f>
        <v>0</v>
      </c>
    </row>
    <row r="450">
      <c r="A450">
        <v>446</v>
      </c>
      <c r="G450" s="5">
        <f>IF(B450="","",SUM(D450:F450))</f>
        <v>0</v>
      </c>
      <c r="H450">
        <f>IF(B450="","",TEXT(B450,"mmm"))</f>
        <v>0</v>
      </c>
      <c r="I450">
        <f>IF(B450="","",YEAR(B450))</f>
        <v>0</v>
      </c>
      <c r="K450">
        <f>IF(B450="","",YEAR(B450)+IF(MONTH(B450)&gt;=10,1,0))</f>
        <v>0</v>
      </c>
    </row>
    <row r="451">
      <c r="A451">
        <v>447</v>
      </c>
      <c r="G451" s="5">
        <f>IF(B451="","",SUM(D451:F451))</f>
        <v>0</v>
      </c>
      <c r="H451">
        <f>IF(B451="","",TEXT(B451,"mmm"))</f>
        <v>0</v>
      </c>
      <c r="I451">
        <f>IF(B451="","",YEAR(B451))</f>
        <v>0</v>
      </c>
      <c r="K451">
        <f>IF(B451="","",YEAR(B451)+IF(MONTH(B451)&gt;=10,1,0))</f>
        <v>0</v>
      </c>
    </row>
    <row r="452">
      <c r="A452">
        <v>448</v>
      </c>
      <c r="G452" s="5">
        <f>IF(B452="","",SUM(D452:F452))</f>
        <v>0</v>
      </c>
      <c r="H452">
        <f>IF(B452="","",TEXT(B452,"mmm"))</f>
        <v>0</v>
      </c>
      <c r="I452">
        <f>IF(B452="","",YEAR(B452))</f>
        <v>0</v>
      </c>
      <c r="K452">
        <f>IF(B452="","",YEAR(B452)+IF(MONTH(B452)&gt;=10,1,0))</f>
        <v>0</v>
      </c>
    </row>
    <row r="453">
      <c r="A453">
        <v>449</v>
      </c>
      <c r="G453" s="5">
        <f>IF(B453="","",SUM(D453:F453))</f>
        <v>0</v>
      </c>
      <c r="H453">
        <f>IF(B453="","",TEXT(B453,"mmm"))</f>
        <v>0</v>
      </c>
      <c r="I453">
        <f>IF(B453="","",YEAR(B453))</f>
        <v>0</v>
      </c>
      <c r="K453">
        <f>IF(B453="","",YEAR(B453)+IF(MONTH(B453)&gt;=10,1,0))</f>
        <v>0</v>
      </c>
    </row>
    <row r="454">
      <c r="A454">
        <v>450</v>
      </c>
      <c r="G454" s="5">
        <f>IF(B454="","",SUM(D454:F454))</f>
        <v>0</v>
      </c>
      <c r="H454">
        <f>IF(B454="","",TEXT(B454,"mmm"))</f>
        <v>0</v>
      </c>
      <c r="I454">
        <f>IF(B454="","",YEAR(B454))</f>
        <v>0</v>
      </c>
      <c r="K454">
        <f>IF(B454="","",YEAR(B454)+IF(MONTH(B454)&gt;=10,1,0))</f>
        <v>0</v>
      </c>
    </row>
    <row r="455">
      <c r="A455">
        <v>451</v>
      </c>
      <c r="G455" s="5">
        <f>IF(B455="","",SUM(D455:F455))</f>
        <v>0</v>
      </c>
      <c r="H455">
        <f>IF(B455="","",TEXT(B455,"mmm"))</f>
        <v>0</v>
      </c>
      <c r="I455">
        <f>IF(B455="","",YEAR(B455))</f>
        <v>0</v>
      </c>
      <c r="K455">
        <f>IF(B455="","",YEAR(B455)+IF(MONTH(B455)&gt;=10,1,0))</f>
        <v>0</v>
      </c>
    </row>
    <row r="456">
      <c r="A456">
        <v>452</v>
      </c>
      <c r="G456" s="5">
        <f>IF(B456="","",SUM(D456:F456))</f>
        <v>0</v>
      </c>
      <c r="H456">
        <f>IF(B456="","",TEXT(B456,"mmm"))</f>
        <v>0</v>
      </c>
      <c r="I456">
        <f>IF(B456="","",YEAR(B456))</f>
        <v>0</v>
      </c>
      <c r="K456">
        <f>IF(B456="","",YEAR(B456)+IF(MONTH(B456)&gt;=10,1,0))</f>
        <v>0</v>
      </c>
    </row>
    <row r="457">
      <c r="A457">
        <v>453</v>
      </c>
      <c r="G457" s="5">
        <f>IF(B457="","",SUM(D457:F457))</f>
        <v>0</v>
      </c>
      <c r="H457">
        <f>IF(B457="","",TEXT(B457,"mmm"))</f>
        <v>0</v>
      </c>
      <c r="I457">
        <f>IF(B457="","",YEAR(B457))</f>
        <v>0</v>
      </c>
      <c r="K457">
        <f>IF(B457="","",YEAR(B457)+IF(MONTH(B457)&gt;=10,1,0))</f>
        <v>0</v>
      </c>
    </row>
    <row r="458">
      <c r="A458">
        <v>454</v>
      </c>
      <c r="G458" s="5">
        <f>IF(B458="","",SUM(D458:F458))</f>
        <v>0</v>
      </c>
      <c r="H458">
        <f>IF(B458="","",TEXT(B458,"mmm"))</f>
        <v>0</v>
      </c>
      <c r="I458">
        <f>IF(B458="","",YEAR(B458))</f>
        <v>0</v>
      </c>
      <c r="K458">
        <f>IF(B458="","",YEAR(B458)+IF(MONTH(B458)&gt;=10,1,0))</f>
        <v>0</v>
      </c>
    </row>
    <row r="459">
      <c r="A459">
        <v>455</v>
      </c>
      <c r="G459" s="5">
        <f>IF(B459="","",SUM(D459:F459))</f>
        <v>0</v>
      </c>
      <c r="H459">
        <f>IF(B459="","",TEXT(B459,"mmm"))</f>
        <v>0</v>
      </c>
      <c r="I459">
        <f>IF(B459="","",YEAR(B459))</f>
        <v>0</v>
      </c>
      <c r="K459">
        <f>IF(B459="","",YEAR(B459)+IF(MONTH(B459)&gt;=10,1,0))</f>
        <v>0</v>
      </c>
    </row>
    <row r="460">
      <c r="A460">
        <v>456</v>
      </c>
      <c r="G460" s="5">
        <f>IF(B460="","",SUM(D460:F460))</f>
        <v>0</v>
      </c>
      <c r="H460">
        <f>IF(B460="","",TEXT(B460,"mmm"))</f>
        <v>0</v>
      </c>
      <c r="I460">
        <f>IF(B460="","",YEAR(B460))</f>
        <v>0</v>
      </c>
      <c r="K460">
        <f>IF(B460="","",YEAR(B460)+IF(MONTH(B460)&gt;=10,1,0))</f>
        <v>0</v>
      </c>
    </row>
    <row r="461">
      <c r="A461">
        <v>457</v>
      </c>
      <c r="G461" s="5">
        <f>IF(B461="","",SUM(D461:F461))</f>
        <v>0</v>
      </c>
      <c r="H461">
        <f>IF(B461="","",TEXT(B461,"mmm"))</f>
        <v>0</v>
      </c>
      <c r="I461">
        <f>IF(B461="","",YEAR(B461))</f>
        <v>0</v>
      </c>
      <c r="K461">
        <f>IF(B461="","",YEAR(B461)+IF(MONTH(B461)&gt;=10,1,0))</f>
        <v>0</v>
      </c>
    </row>
    <row r="462">
      <c r="A462">
        <v>458</v>
      </c>
      <c r="G462" s="5">
        <f>IF(B462="","",SUM(D462:F462))</f>
        <v>0</v>
      </c>
      <c r="H462">
        <f>IF(B462="","",TEXT(B462,"mmm"))</f>
        <v>0</v>
      </c>
      <c r="I462">
        <f>IF(B462="","",YEAR(B462))</f>
        <v>0</v>
      </c>
      <c r="K462">
        <f>IF(B462="","",YEAR(B462)+IF(MONTH(B462)&gt;=10,1,0))</f>
        <v>0</v>
      </c>
    </row>
    <row r="463">
      <c r="A463">
        <v>459</v>
      </c>
      <c r="G463" s="5">
        <f>IF(B463="","",SUM(D463:F463))</f>
        <v>0</v>
      </c>
      <c r="H463">
        <f>IF(B463="","",TEXT(B463,"mmm"))</f>
        <v>0</v>
      </c>
      <c r="I463">
        <f>IF(B463="","",YEAR(B463))</f>
        <v>0</v>
      </c>
      <c r="K463">
        <f>IF(B463="","",YEAR(B463)+IF(MONTH(B463)&gt;=10,1,0))</f>
        <v>0</v>
      </c>
    </row>
    <row r="464">
      <c r="A464">
        <v>460</v>
      </c>
      <c r="G464" s="5">
        <f>IF(B464="","",SUM(D464:F464))</f>
        <v>0</v>
      </c>
      <c r="H464">
        <f>IF(B464="","",TEXT(B464,"mmm"))</f>
        <v>0</v>
      </c>
      <c r="I464">
        <f>IF(B464="","",YEAR(B464))</f>
        <v>0</v>
      </c>
      <c r="K464">
        <f>IF(B464="","",YEAR(B464)+IF(MONTH(B464)&gt;=10,1,0))</f>
        <v>0</v>
      </c>
    </row>
    <row r="465">
      <c r="A465">
        <v>461</v>
      </c>
      <c r="G465" s="5">
        <f>IF(B465="","",SUM(D465:F465))</f>
        <v>0</v>
      </c>
      <c r="H465">
        <f>IF(B465="","",TEXT(B465,"mmm"))</f>
        <v>0</v>
      </c>
      <c r="I465">
        <f>IF(B465="","",YEAR(B465))</f>
        <v>0</v>
      </c>
      <c r="K465">
        <f>IF(B465="","",YEAR(B465)+IF(MONTH(B465)&gt;=10,1,0))</f>
        <v>0</v>
      </c>
    </row>
    <row r="466">
      <c r="A466">
        <v>462</v>
      </c>
      <c r="G466" s="5">
        <f>IF(B466="","",SUM(D466:F466))</f>
        <v>0</v>
      </c>
      <c r="H466">
        <f>IF(B466="","",TEXT(B466,"mmm"))</f>
        <v>0</v>
      </c>
      <c r="I466">
        <f>IF(B466="","",YEAR(B466))</f>
        <v>0</v>
      </c>
      <c r="K466">
        <f>IF(B466="","",YEAR(B466)+IF(MONTH(B466)&gt;=10,1,0))</f>
        <v>0</v>
      </c>
    </row>
    <row r="467">
      <c r="A467">
        <v>463</v>
      </c>
      <c r="G467" s="5">
        <f>IF(B467="","",SUM(D467:F467))</f>
        <v>0</v>
      </c>
      <c r="H467">
        <f>IF(B467="","",TEXT(B467,"mmm"))</f>
        <v>0</v>
      </c>
      <c r="I467">
        <f>IF(B467="","",YEAR(B467))</f>
        <v>0</v>
      </c>
      <c r="K467">
        <f>IF(B467="","",YEAR(B467)+IF(MONTH(B467)&gt;=10,1,0))</f>
        <v>0</v>
      </c>
    </row>
    <row r="468">
      <c r="A468">
        <v>464</v>
      </c>
      <c r="G468" s="5">
        <f>IF(B468="","",SUM(D468:F468))</f>
        <v>0</v>
      </c>
      <c r="H468">
        <f>IF(B468="","",TEXT(B468,"mmm"))</f>
        <v>0</v>
      </c>
      <c r="I468">
        <f>IF(B468="","",YEAR(B468))</f>
        <v>0</v>
      </c>
      <c r="K468">
        <f>IF(B468="","",YEAR(B468)+IF(MONTH(B468)&gt;=10,1,0))</f>
        <v>0</v>
      </c>
    </row>
    <row r="469">
      <c r="A469">
        <v>465</v>
      </c>
      <c r="G469" s="5">
        <f>IF(B469="","",SUM(D469:F469))</f>
        <v>0</v>
      </c>
      <c r="H469">
        <f>IF(B469="","",TEXT(B469,"mmm"))</f>
        <v>0</v>
      </c>
      <c r="I469">
        <f>IF(B469="","",YEAR(B469))</f>
        <v>0</v>
      </c>
      <c r="K469">
        <f>IF(B469="","",YEAR(B469)+IF(MONTH(B469)&gt;=10,1,0))</f>
        <v>0</v>
      </c>
    </row>
    <row r="470">
      <c r="A470">
        <v>466</v>
      </c>
      <c r="G470" s="5">
        <f>IF(B470="","",SUM(D470:F470))</f>
        <v>0</v>
      </c>
      <c r="H470">
        <f>IF(B470="","",TEXT(B470,"mmm"))</f>
        <v>0</v>
      </c>
      <c r="I470">
        <f>IF(B470="","",YEAR(B470))</f>
        <v>0</v>
      </c>
      <c r="K470">
        <f>IF(B470="","",YEAR(B470)+IF(MONTH(B470)&gt;=10,1,0))</f>
        <v>0</v>
      </c>
    </row>
    <row r="471">
      <c r="A471">
        <v>467</v>
      </c>
      <c r="G471" s="5">
        <f>IF(B471="","",SUM(D471:F471))</f>
        <v>0</v>
      </c>
      <c r="H471">
        <f>IF(B471="","",TEXT(B471,"mmm"))</f>
        <v>0</v>
      </c>
      <c r="I471">
        <f>IF(B471="","",YEAR(B471))</f>
        <v>0</v>
      </c>
      <c r="K471">
        <f>IF(B471="","",YEAR(B471)+IF(MONTH(B471)&gt;=10,1,0))</f>
        <v>0</v>
      </c>
    </row>
    <row r="472">
      <c r="A472">
        <v>468</v>
      </c>
      <c r="G472" s="5">
        <f>IF(B472="","",SUM(D472:F472))</f>
        <v>0</v>
      </c>
      <c r="H472">
        <f>IF(B472="","",TEXT(B472,"mmm"))</f>
        <v>0</v>
      </c>
      <c r="I472">
        <f>IF(B472="","",YEAR(B472))</f>
        <v>0</v>
      </c>
      <c r="K472">
        <f>IF(B472="","",YEAR(B472)+IF(MONTH(B472)&gt;=10,1,0))</f>
        <v>0</v>
      </c>
    </row>
    <row r="473">
      <c r="A473">
        <v>469</v>
      </c>
      <c r="G473" s="5">
        <f>IF(B473="","",SUM(D473:F473))</f>
        <v>0</v>
      </c>
      <c r="H473">
        <f>IF(B473="","",TEXT(B473,"mmm"))</f>
        <v>0</v>
      </c>
      <c r="I473">
        <f>IF(B473="","",YEAR(B473))</f>
        <v>0</v>
      </c>
      <c r="K473">
        <f>IF(B473="","",YEAR(B473)+IF(MONTH(B473)&gt;=10,1,0))</f>
        <v>0</v>
      </c>
    </row>
    <row r="474">
      <c r="A474">
        <v>470</v>
      </c>
      <c r="G474" s="5">
        <f>IF(B474="","",SUM(D474:F474))</f>
        <v>0</v>
      </c>
      <c r="H474">
        <f>IF(B474="","",TEXT(B474,"mmm"))</f>
        <v>0</v>
      </c>
      <c r="I474">
        <f>IF(B474="","",YEAR(B474))</f>
        <v>0</v>
      </c>
      <c r="K474">
        <f>IF(B474="","",YEAR(B474)+IF(MONTH(B474)&gt;=10,1,0))</f>
        <v>0</v>
      </c>
    </row>
    <row r="475">
      <c r="A475">
        <v>471</v>
      </c>
      <c r="G475" s="5">
        <f>IF(B475="","",SUM(D475:F475))</f>
        <v>0</v>
      </c>
      <c r="H475">
        <f>IF(B475="","",TEXT(B475,"mmm"))</f>
        <v>0</v>
      </c>
      <c r="I475">
        <f>IF(B475="","",YEAR(B475))</f>
        <v>0</v>
      </c>
      <c r="K475">
        <f>IF(B475="","",YEAR(B475)+IF(MONTH(B475)&gt;=10,1,0))</f>
        <v>0</v>
      </c>
    </row>
    <row r="476">
      <c r="A476">
        <v>472</v>
      </c>
      <c r="G476" s="5">
        <f>IF(B476="","",SUM(D476:F476))</f>
        <v>0</v>
      </c>
      <c r="H476">
        <f>IF(B476="","",TEXT(B476,"mmm"))</f>
        <v>0</v>
      </c>
      <c r="I476">
        <f>IF(B476="","",YEAR(B476))</f>
        <v>0</v>
      </c>
      <c r="K476">
        <f>IF(B476="","",YEAR(B476)+IF(MONTH(B476)&gt;=10,1,0))</f>
        <v>0</v>
      </c>
    </row>
    <row r="477">
      <c r="A477">
        <v>473</v>
      </c>
      <c r="G477" s="5">
        <f>IF(B477="","",SUM(D477:F477))</f>
        <v>0</v>
      </c>
      <c r="H477">
        <f>IF(B477="","",TEXT(B477,"mmm"))</f>
        <v>0</v>
      </c>
      <c r="I477">
        <f>IF(B477="","",YEAR(B477))</f>
        <v>0</v>
      </c>
      <c r="K477">
        <f>IF(B477="","",YEAR(B477)+IF(MONTH(B477)&gt;=10,1,0))</f>
        <v>0</v>
      </c>
    </row>
    <row r="478">
      <c r="A478">
        <v>474</v>
      </c>
      <c r="G478" s="5">
        <f>IF(B478="","",SUM(D478:F478))</f>
        <v>0</v>
      </c>
      <c r="H478">
        <f>IF(B478="","",TEXT(B478,"mmm"))</f>
        <v>0</v>
      </c>
      <c r="I478">
        <f>IF(B478="","",YEAR(B478))</f>
        <v>0</v>
      </c>
      <c r="K478">
        <f>IF(B478="","",YEAR(B478)+IF(MONTH(B478)&gt;=10,1,0))</f>
        <v>0</v>
      </c>
    </row>
    <row r="479">
      <c r="A479">
        <v>475</v>
      </c>
      <c r="G479" s="5">
        <f>IF(B479="","",SUM(D479:F479))</f>
        <v>0</v>
      </c>
      <c r="H479">
        <f>IF(B479="","",TEXT(B479,"mmm"))</f>
        <v>0</v>
      </c>
      <c r="I479">
        <f>IF(B479="","",YEAR(B479))</f>
        <v>0</v>
      </c>
      <c r="K479">
        <f>IF(B479="","",YEAR(B479)+IF(MONTH(B479)&gt;=10,1,0))</f>
        <v>0</v>
      </c>
    </row>
    <row r="480">
      <c r="A480">
        <v>476</v>
      </c>
      <c r="G480" s="5">
        <f>IF(B480="","",SUM(D480:F480))</f>
        <v>0</v>
      </c>
      <c r="H480">
        <f>IF(B480="","",TEXT(B480,"mmm"))</f>
        <v>0</v>
      </c>
      <c r="I480">
        <f>IF(B480="","",YEAR(B480))</f>
        <v>0</v>
      </c>
      <c r="K480">
        <f>IF(B480="","",YEAR(B480)+IF(MONTH(B480)&gt;=10,1,0))</f>
        <v>0</v>
      </c>
    </row>
    <row r="481">
      <c r="A481">
        <v>477</v>
      </c>
      <c r="G481" s="5">
        <f>IF(B481="","",SUM(D481:F481))</f>
        <v>0</v>
      </c>
      <c r="H481">
        <f>IF(B481="","",TEXT(B481,"mmm"))</f>
        <v>0</v>
      </c>
      <c r="I481">
        <f>IF(B481="","",YEAR(B481))</f>
        <v>0</v>
      </c>
      <c r="K481">
        <f>IF(B481="","",YEAR(B481)+IF(MONTH(B481)&gt;=10,1,0))</f>
        <v>0</v>
      </c>
    </row>
    <row r="482">
      <c r="A482">
        <v>478</v>
      </c>
      <c r="G482" s="5">
        <f>IF(B482="","",SUM(D482:F482))</f>
        <v>0</v>
      </c>
      <c r="H482">
        <f>IF(B482="","",TEXT(B482,"mmm"))</f>
        <v>0</v>
      </c>
      <c r="I482">
        <f>IF(B482="","",YEAR(B482))</f>
        <v>0</v>
      </c>
      <c r="K482">
        <f>IF(B482="","",YEAR(B482)+IF(MONTH(B482)&gt;=10,1,0))</f>
        <v>0</v>
      </c>
    </row>
    <row r="483">
      <c r="A483">
        <v>479</v>
      </c>
      <c r="G483" s="5">
        <f>IF(B483="","",SUM(D483:F483))</f>
        <v>0</v>
      </c>
      <c r="H483">
        <f>IF(B483="","",TEXT(B483,"mmm"))</f>
        <v>0</v>
      </c>
      <c r="I483">
        <f>IF(B483="","",YEAR(B483))</f>
        <v>0</v>
      </c>
      <c r="K483">
        <f>IF(B483="","",YEAR(B483)+IF(MONTH(B483)&gt;=10,1,0))</f>
        <v>0</v>
      </c>
    </row>
    <row r="484">
      <c r="A484">
        <v>480</v>
      </c>
      <c r="G484" s="5">
        <f>IF(B484="","",SUM(D484:F484))</f>
        <v>0</v>
      </c>
      <c r="H484">
        <f>IF(B484="","",TEXT(B484,"mmm"))</f>
        <v>0</v>
      </c>
      <c r="I484">
        <f>IF(B484="","",YEAR(B484))</f>
        <v>0</v>
      </c>
      <c r="K484">
        <f>IF(B484="","",YEAR(B484)+IF(MONTH(B484)&gt;=10,1,0))</f>
        <v>0</v>
      </c>
    </row>
    <row r="485">
      <c r="A485">
        <v>481</v>
      </c>
      <c r="G485" s="5">
        <f>IF(B485="","",SUM(D485:F485))</f>
        <v>0</v>
      </c>
      <c r="H485">
        <f>IF(B485="","",TEXT(B485,"mmm"))</f>
        <v>0</v>
      </c>
      <c r="I485">
        <f>IF(B485="","",YEAR(B485))</f>
        <v>0</v>
      </c>
      <c r="K485">
        <f>IF(B485="","",YEAR(B485)+IF(MONTH(B485)&gt;=10,1,0))</f>
        <v>0</v>
      </c>
    </row>
    <row r="486">
      <c r="A486">
        <v>482</v>
      </c>
      <c r="G486" s="5">
        <f>IF(B486="","",SUM(D486:F486))</f>
        <v>0</v>
      </c>
      <c r="H486">
        <f>IF(B486="","",TEXT(B486,"mmm"))</f>
        <v>0</v>
      </c>
      <c r="I486">
        <f>IF(B486="","",YEAR(B486))</f>
        <v>0</v>
      </c>
      <c r="K486">
        <f>IF(B486="","",YEAR(B486)+IF(MONTH(B486)&gt;=10,1,0))</f>
        <v>0</v>
      </c>
    </row>
    <row r="487">
      <c r="A487">
        <v>483</v>
      </c>
      <c r="G487" s="5">
        <f>IF(B487="","",SUM(D487:F487))</f>
        <v>0</v>
      </c>
      <c r="H487">
        <f>IF(B487="","",TEXT(B487,"mmm"))</f>
        <v>0</v>
      </c>
      <c r="I487">
        <f>IF(B487="","",YEAR(B487))</f>
        <v>0</v>
      </c>
      <c r="K487">
        <f>IF(B487="","",YEAR(B487)+IF(MONTH(B487)&gt;=10,1,0))</f>
        <v>0</v>
      </c>
    </row>
    <row r="488">
      <c r="A488">
        <v>484</v>
      </c>
      <c r="G488" s="5">
        <f>IF(B488="","",SUM(D488:F488))</f>
        <v>0</v>
      </c>
      <c r="H488">
        <f>IF(B488="","",TEXT(B488,"mmm"))</f>
        <v>0</v>
      </c>
      <c r="I488">
        <f>IF(B488="","",YEAR(B488))</f>
        <v>0</v>
      </c>
      <c r="K488">
        <f>IF(B488="","",YEAR(B488)+IF(MONTH(B488)&gt;=10,1,0))</f>
        <v>0</v>
      </c>
    </row>
    <row r="489">
      <c r="A489">
        <v>485</v>
      </c>
      <c r="G489" s="5">
        <f>IF(B489="","",SUM(D489:F489))</f>
        <v>0</v>
      </c>
      <c r="H489">
        <f>IF(B489="","",TEXT(B489,"mmm"))</f>
        <v>0</v>
      </c>
      <c r="I489">
        <f>IF(B489="","",YEAR(B489))</f>
        <v>0</v>
      </c>
      <c r="K489">
        <f>IF(B489="","",YEAR(B489)+IF(MONTH(B489)&gt;=10,1,0))</f>
        <v>0</v>
      </c>
    </row>
    <row r="490">
      <c r="A490">
        <v>486</v>
      </c>
      <c r="G490" s="5">
        <f>IF(B490="","",SUM(D490:F490))</f>
        <v>0</v>
      </c>
      <c r="H490">
        <f>IF(B490="","",TEXT(B490,"mmm"))</f>
        <v>0</v>
      </c>
      <c r="I490">
        <f>IF(B490="","",YEAR(B490))</f>
        <v>0</v>
      </c>
      <c r="K490">
        <f>IF(B490="","",YEAR(B490)+IF(MONTH(B490)&gt;=10,1,0))</f>
        <v>0</v>
      </c>
    </row>
    <row r="491">
      <c r="A491">
        <v>487</v>
      </c>
      <c r="G491" s="5">
        <f>IF(B491="","",SUM(D491:F491))</f>
        <v>0</v>
      </c>
      <c r="H491">
        <f>IF(B491="","",TEXT(B491,"mmm"))</f>
        <v>0</v>
      </c>
      <c r="I491">
        <f>IF(B491="","",YEAR(B491))</f>
        <v>0</v>
      </c>
      <c r="K491">
        <f>IF(B491="","",YEAR(B491)+IF(MONTH(B491)&gt;=10,1,0))</f>
        <v>0</v>
      </c>
    </row>
    <row r="492">
      <c r="A492">
        <v>488</v>
      </c>
      <c r="G492" s="5">
        <f>IF(B492="","",SUM(D492:F492))</f>
        <v>0</v>
      </c>
      <c r="H492">
        <f>IF(B492="","",TEXT(B492,"mmm"))</f>
        <v>0</v>
      </c>
      <c r="I492">
        <f>IF(B492="","",YEAR(B492))</f>
        <v>0</v>
      </c>
      <c r="K492">
        <f>IF(B492="","",YEAR(B492)+IF(MONTH(B492)&gt;=10,1,0))</f>
        <v>0</v>
      </c>
    </row>
    <row r="493">
      <c r="A493">
        <v>489</v>
      </c>
      <c r="G493" s="5">
        <f>IF(B493="","",SUM(D493:F493))</f>
        <v>0</v>
      </c>
      <c r="H493">
        <f>IF(B493="","",TEXT(B493,"mmm"))</f>
        <v>0</v>
      </c>
      <c r="I493">
        <f>IF(B493="","",YEAR(B493))</f>
        <v>0</v>
      </c>
      <c r="K493">
        <f>IF(B493="","",YEAR(B493)+IF(MONTH(B493)&gt;=10,1,0))</f>
        <v>0</v>
      </c>
    </row>
    <row r="494">
      <c r="A494">
        <v>490</v>
      </c>
      <c r="G494" s="5">
        <f>IF(B494="","",SUM(D494:F494))</f>
        <v>0</v>
      </c>
      <c r="H494">
        <f>IF(B494="","",TEXT(B494,"mmm"))</f>
        <v>0</v>
      </c>
      <c r="I494">
        <f>IF(B494="","",YEAR(B494))</f>
        <v>0</v>
      </c>
      <c r="K494">
        <f>IF(B494="","",YEAR(B494)+IF(MONTH(B494)&gt;=10,1,0))</f>
        <v>0</v>
      </c>
    </row>
    <row r="495">
      <c r="A495">
        <v>491</v>
      </c>
      <c r="G495" s="5">
        <f>IF(B495="","",SUM(D495:F495))</f>
        <v>0</v>
      </c>
      <c r="H495">
        <f>IF(B495="","",TEXT(B495,"mmm"))</f>
        <v>0</v>
      </c>
      <c r="I495">
        <f>IF(B495="","",YEAR(B495))</f>
        <v>0</v>
      </c>
      <c r="K495">
        <f>IF(B495="","",YEAR(B495)+IF(MONTH(B495)&gt;=10,1,0))</f>
        <v>0</v>
      </c>
    </row>
    <row r="496">
      <c r="A496">
        <v>492</v>
      </c>
      <c r="G496" s="5">
        <f>IF(B496="","",SUM(D496:F496))</f>
        <v>0</v>
      </c>
      <c r="H496">
        <f>IF(B496="","",TEXT(B496,"mmm"))</f>
        <v>0</v>
      </c>
      <c r="I496">
        <f>IF(B496="","",YEAR(B496))</f>
        <v>0</v>
      </c>
      <c r="K496">
        <f>IF(B496="","",YEAR(B496)+IF(MONTH(B496)&gt;=10,1,0))</f>
        <v>0</v>
      </c>
    </row>
    <row r="497">
      <c r="A497">
        <v>493</v>
      </c>
      <c r="G497" s="5">
        <f>IF(B497="","",SUM(D497:F497))</f>
        <v>0</v>
      </c>
      <c r="H497">
        <f>IF(B497="","",TEXT(B497,"mmm"))</f>
        <v>0</v>
      </c>
      <c r="I497">
        <f>IF(B497="","",YEAR(B497))</f>
        <v>0</v>
      </c>
      <c r="K497">
        <f>IF(B497="","",YEAR(B497)+IF(MONTH(B497)&gt;=10,1,0))</f>
        <v>0</v>
      </c>
    </row>
    <row r="498">
      <c r="A498">
        <v>494</v>
      </c>
      <c r="G498" s="5">
        <f>IF(B498="","",SUM(D498:F498))</f>
        <v>0</v>
      </c>
      <c r="H498">
        <f>IF(B498="","",TEXT(B498,"mmm"))</f>
        <v>0</v>
      </c>
      <c r="I498">
        <f>IF(B498="","",YEAR(B498))</f>
        <v>0</v>
      </c>
      <c r="K498">
        <f>IF(B498="","",YEAR(B498)+IF(MONTH(B498)&gt;=10,1,0))</f>
        <v>0</v>
      </c>
    </row>
    <row r="499">
      <c r="A499">
        <v>495</v>
      </c>
      <c r="G499" s="5">
        <f>IF(B499="","",SUM(D499:F499))</f>
        <v>0</v>
      </c>
      <c r="H499">
        <f>IF(B499="","",TEXT(B499,"mmm"))</f>
        <v>0</v>
      </c>
      <c r="I499">
        <f>IF(B499="","",YEAR(B499))</f>
        <v>0</v>
      </c>
      <c r="K499">
        <f>IF(B499="","",YEAR(B499)+IF(MONTH(B499)&gt;=10,1,0))</f>
        <v>0</v>
      </c>
    </row>
    <row r="500">
      <c r="A500">
        <v>496</v>
      </c>
      <c r="G500" s="5">
        <f>IF(B500="","",SUM(D500:F500))</f>
        <v>0</v>
      </c>
      <c r="H500">
        <f>IF(B500="","",TEXT(B500,"mmm"))</f>
        <v>0</v>
      </c>
      <c r="I500">
        <f>IF(B500="","",YEAR(B500))</f>
        <v>0</v>
      </c>
      <c r="K500">
        <f>IF(B500="","",YEAR(B500)+IF(MONTH(B500)&gt;=10,1,0))</f>
        <v>0</v>
      </c>
    </row>
    <row r="501">
      <c r="A501">
        <v>497</v>
      </c>
      <c r="G501" s="5">
        <f>IF(B501="","",SUM(D501:F501))</f>
        <v>0</v>
      </c>
      <c r="H501">
        <f>IF(B501="","",TEXT(B501,"mmm"))</f>
        <v>0</v>
      </c>
      <c r="I501">
        <f>IF(B501="","",YEAR(B501))</f>
        <v>0</v>
      </c>
      <c r="K501">
        <f>IF(B501="","",YEAR(B501)+IF(MONTH(B501)&gt;=10,1,0))</f>
        <v>0</v>
      </c>
    </row>
    <row r="502">
      <c r="A502">
        <v>498</v>
      </c>
      <c r="G502" s="5">
        <f>IF(B502="","",SUM(D502:F502))</f>
        <v>0</v>
      </c>
      <c r="H502">
        <f>IF(B502="","",TEXT(B502,"mmm"))</f>
        <v>0</v>
      </c>
      <c r="I502">
        <f>IF(B502="","",YEAR(B502))</f>
        <v>0</v>
      </c>
      <c r="K502">
        <f>IF(B502="","",YEAR(B502)+IF(MONTH(B502)&gt;=10,1,0))</f>
        <v>0</v>
      </c>
    </row>
    <row r="503">
      <c r="A503">
        <v>499</v>
      </c>
      <c r="G503" s="5">
        <f>IF(B503="","",SUM(D503:F503))</f>
        <v>0</v>
      </c>
      <c r="H503">
        <f>IF(B503="","",TEXT(B503,"mmm"))</f>
        <v>0</v>
      </c>
      <c r="I503">
        <f>IF(B503="","",YEAR(B503))</f>
        <v>0</v>
      </c>
      <c r="K503">
        <f>IF(B503="","",YEAR(B503)+IF(MONTH(B503)&gt;=10,1,0))</f>
        <v>0</v>
      </c>
    </row>
    <row r="504">
      <c r="A504">
        <v>500</v>
      </c>
      <c r="G504" s="5">
        <f>IF(B504="","",SUM(D504:F504))</f>
        <v>0</v>
      </c>
      <c r="H504">
        <f>IF(B504="","",TEXT(B504,"mmm"))</f>
        <v>0</v>
      </c>
      <c r="I504">
        <f>IF(B504="","",YEAR(B504))</f>
        <v>0</v>
      </c>
      <c r="K504">
        <f>IF(B504="","",YEAR(B504)+IF(MONTH(B504)&gt;=10,1,0))</f>
        <v>0</v>
      </c>
    </row>
  </sheetData>
  <autoFilter ref="A4:K504"/>
  <dataValidations count="4">
    <dataValidation type="list" showErrorMessage="1" errorTitle="Choose a class" error="Choose a class from the dropdown." sqref="C5:C504">
      <formula1>Classes</formula1>
    </dataValidation>
    <dataValidation type="decimal" operator="greaterThanOrEqual" allowBlank="1" showErrorMessage="1" sqref="D5:D504">
      <formula1>0</formula1>
    </dataValidation>
    <dataValidation type="decimal" operator="greaterThanOrEqual" allowBlank="1" showErrorMessage="1" sqref="E5:E504">
      <formula1>0</formula1>
    </dataValidation>
    <dataValidation type="decimal" operator="greaterThanOrEqual" allowBlank="1" showErrorMessage="1" sqref="F5:F504">
      <formula1>0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8"/>
  <cols>
    <col min="1" max="1" width="32"/>
    <col min="2" max="5" width="22"/>
  </cols>
  <sheetData>
    <row r="1" ht="32" customHeight="1">
      <c r="A1" s="1" t="inlineStr">
        <is>
          <t xml:space="preserve">CLASS HOURS SUMMARY</t>
        </is>
      </c>
    </row>
    <row r="2" ht="24" customHeight="1">
      <c r="A2" s="13" t="inlineStr">
        <is>
          <t xml:space="preserve">All class totals are calculated for the fiscal year selected on the Dashboard.</t>
        </is>
      </c>
    </row>
    <row r="4" ht="26" customHeight="1">
      <c r="A4" s="11" t="inlineStr">
        <is>
          <t xml:space="preserve">CLASS</t>
        </is>
      </c>
      <c r="B4" s="11" t="inlineStr">
        <is>
          <t xml:space="preserve">CONTACT HOURS</t>
        </is>
      </c>
      <c r="C4" s="11" t="inlineStr">
        <is>
          <t xml:space="preserve">PRODUCTION HOURS</t>
        </is>
      </c>
      <c r="D4" s="11" t="inlineStr">
        <is>
          <t xml:space="preserve">CONSULTATION HOURS</t>
        </is>
      </c>
      <c r="E4" s="11" t="inlineStr">
        <is>
          <t xml:space="preserve">TOTAL HOURS</t>
        </is>
      </c>
    </row>
    <row r="5">
      <c r="A5" s="3">
        <f>Lists!A5</f>
        <v>0</v>
      </c>
      <c r="B5" s="5">
        <f>SUMIFS('Hours Log'!$D$5:$D$504,'Hours Log'!$C$5:$C$504,$A5,'Hours Log'!$B$5:$B$504,"&gt;="&amp;DATE(Dashboard!$B$4-1,10,1),'Hours Log'!$B$5:$B$504,"&lt;"&amp;DATE(Dashboard!$B$4,10,1))</f>
        <v>0</v>
      </c>
      <c r="C5" s="5">
        <f>SUMIFS('Hours Log'!$E$5:$E$504,'Hours Log'!$C$5:$C$504,$A5,'Hours Log'!$B$5:$B$504,"&gt;="&amp;DATE(Dashboard!$B$4-1,10,1),'Hours Log'!$B$5:$B$504,"&lt;"&amp;DATE(Dashboard!$B$4,10,1))</f>
        <v>0</v>
      </c>
      <c r="D5" s="5">
        <f>SUMIFS('Hours Log'!$F$5:$F$504,'Hours Log'!$C$5:$C$504,$A5,'Hours Log'!$B$5:$B$504,"&gt;="&amp;DATE(Dashboard!$B$4-1,10,1),'Hours Log'!$B$5:$B$504,"&lt;"&amp;DATE(Dashboard!$B$4,10,1))</f>
        <v>0</v>
      </c>
      <c r="E5" s="8">
        <f>SUM(B5:D5)</f>
        <v>0</v>
      </c>
    </row>
    <row r="6">
      <c r="A6" s="3">
        <f>Lists!A6</f>
        <v>0</v>
      </c>
      <c r="B6" s="5">
        <f>SUMIFS('Hours Log'!$D$5:$D$504,'Hours Log'!$C$5:$C$504,$A6,'Hours Log'!$B$5:$B$504,"&gt;="&amp;DATE(Dashboard!$B$4-1,10,1),'Hours Log'!$B$5:$B$504,"&lt;"&amp;DATE(Dashboard!$B$4,10,1))</f>
        <v>0</v>
      </c>
      <c r="C6" s="5">
        <f>SUMIFS('Hours Log'!$E$5:$E$504,'Hours Log'!$C$5:$C$504,$A6,'Hours Log'!$B$5:$B$504,"&gt;="&amp;DATE(Dashboard!$B$4-1,10,1),'Hours Log'!$B$5:$B$504,"&lt;"&amp;DATE(Dashboard!$B$4,10,1))</f>
        <v>0</v>
      </c>
      <c r="D6" s="5">
        <f>SUMIFS('Hours Log'!$F$5:$F$504,'Hours Log'!$C$5:$C$504,$A6,'Hours Log'!$B$5:$B$504,"&gt;="&amp;DATE(Dashboard!$B$4-1,10,1),'Hours Log'!$B$5:$B$504,"&lt;"&amp;DATE(Dashboard!$B$4,10,1))</f>
        <v>0</v>
      </c>
      <c r="E6" s="8">
        <f>SUM(B6:D6)</f>
        <v>0</v>
      </c>
    </row>
    <row r="7">
      <c r="A7" s="3">
        <f>Lists!A7</f>
        <v>0</v>
      </c>
      <c r="B7" s="5">
        <f>SUMIFS('Hours Log'!$D$5:$D$504,'Hours Log'!$C$5:$C$504,$A7,'Hours Log'!$B$5:$B$504,"&gt;="&amp;DATE(Dashboard!$B$4-1,10,1),'Hours Log'!$B$5:$B$504,"&lt;"&amp;DATE(Dashboard!$B$4,10,1))</f>
        <v>0</v>
      </c>
      <c r="C7" s="5">
        <f>SUMIFS('Hours Log'!$E$5:$E$504,'Hours Log'!$C$5:$C$504,$A7,'Hours Log'!$B$5:$B$504,"&gt;="&amp;DATE(Dashboard!$B$4-1,10,1),'Hours Log'!$B$5:$B$504,"&lt;"&amp;DATE(Dashboard!$B$4,10,1))</f>
        <v>0</v>
      </c>
      <c r="D7" s="5">
        <f>SUMIFS('Hours Log'!$F$5:$F$504,'Hours Log'!$C$5:$C$504,$A7,'Hours Log'!$B$5:$B$504,"&gt;="&amp;DATE(Dashboard!$B$4-1,10,1),'Hours Log'!$B$5:$B$504,"&lt;"&amp;DATE(Dashboard!$B$4,10,1))</f>
        <v>0</v>
      </c>
      <c r="E7" s="8">
        <f>SUM(B7:D7)</f>
        <v>0</v>
      </c>
    </row>
    <row r="8">
      <c r="A8" s="3">
        <f>Lists!A8</f>
        <v>0</v>
      </c>
      <c r="B8" s="5">
        <f>SUMIFS('Hours Log'!$D$5:$D$504,'Hours Log'!$C$5:$C$504,$A8,'Hours Log'!$B$5:$B$504,"&gt;="&amp;DATE(Dashboard!$B$4-1,10,1),'Hours Log'!$B$5:$B$504,"&lt;"&amp;DATE(Dashboard!$B$4,10,1))</f>
        <v>0</v>
      </c>
      <c r="C8" s="5">
        <f>SUMIFS('Hours Log'!$E$5:$E$504,'Hours Log'!$C$5:$C$504,$A8,'Hours Log'!$B$5:$B$504,"&gt;="&amp;DATE(Dashboard!$B$4-1,10,1),'Hours Log'!$B$5:$B$504,"&lt;"&amp;DATE(Dashboard!$B$4,10,1))</f>
        <v>0</v>
      </c>
      <c r="D8" s="5">
        <f>SUMIFS('Hours Log'!$F$5:$F$504,'Hours Log'!$C$5:$C$504,$A8,'Hours Log'!$B$5:$B$504,"&gt;="&amp;DATE(Dashboard!$B$4-1,10,1),'Hours Log'!$B$5:$B$504,"&lt;"&amp;DATE(Dashboard!$B$4,10,1))</f>
        <v>0</v>
      </c>
      <c r="E8" s="8">
        <f>SUM(B8:D8)</f>
        <v>0</v>
      </c>
    </row>
    <row r="9">
      <c r="A9" s="3">
        <f>Lists!A9</f>
        <v>0</v>
      </c>
      <c r="B9" s="5">
        <f>SUMIFS('Hours Log'!$D$5:$D$504,'Hours Log'!$C$5:$C$504,$A9,'Hours Log'!$B$5:$B$504,"&gt;="&amp;DATE(Dashboard!$B$4-1,10,1),'Hours Log'!$B$5:$B$504,"&lt;"&amp;DATE(Dashboard!$B$4,10,1))</f>
        <v>0</v>
      </c>
      <c r="C9" s="5">
        <f>SUMIFS('Hours Log'!$E$5:$E$504,'Hours Log'!$C$5:$C$504,$A9,'Hours Log'!$B$5:$B$504,"&gt;="&amp;DATE(Dashboard!$B$4-1,10,1),'Hours Log'!$B$5:$B$504,"&lt;"&amp;DATE(Dashboard!$B$4,10,1))</f>
        <v>0</v>
      </c>
      <c r="D9" s="5">
        <f>SUMIFS('Hours Log'!$F$5:$F$504,'Hours Log'!$C$5:$C$504,$A9,'Hours Log'!$B$5:$B$504,"&gt;="&amp;DATE(Dashboard!$B$4-1,10,1),'Hours Log'!$B$5:$B$504,"&lt;"&amp;DATE(Dashboard!$B$4,10,1))</f>
        <v>0</v>
      </c>
      <c r="E9" s="8">
        <f>SUM(B9:D9)</f>
        <v>0</v>
      </c>
    </row>
    <row r="10">
      <c r="A10" s="3">
        <f>Lists!A10</f>
        <v>0</v>
      </c>
      <c r="B10" s="5">
        <f>SUMIFS('Hours Log'!$D$5:$D$504,'Hours Log'!$C$5:$C$504,$A10,'Hours Log'!$B$5:$B$504,"&gt;="&amp;DATE(Dashboard!$B$4-1,10,1),'Hours Log'!$B$5:$B$504,"&lt;"&amp;DATE(Dashboard!$B$4,10,1))</f>
        <v>0</v>
      </c>
      <c r="C10" s="5">
        <f>SUMIFS('Hours Log'!$E$5:$E$504,'Hours Log'!$C$5:$C$504,$A10,'Hours Log'!$B$5:$B$504,"&gt;="&amp;DATE(Dashboard!$B$4-1,10,1),'Hours Log'!$B$5:$B$504,"&lt;"&amp;DATE(Dashboard!$B$4,10,1))</f>
        <v>0</v>
      </c>
      <c r="D10" s="5">
        <f>SUMIFS('Hours Log'!$F$5:$F$504,'Hours Log'!$C$5:$C$504,$A10,'Hours Log'!$B$5:$B$504,"&gt;="&amp;DATE(Dashboard!$B$4-1,10,1),'Hours Log'!$B$5:$B$504,"&lt;"&amp;DATE(Dashboard!$B$4,10,1))</f>
        <v>0</v>
      </c>
      <c r="E10" s="8">
        <f>SUM(B10:D10)</f>
        <v>0</v>
      </c>
    </row>
    <row r="11">
      <c r="A11" s="3">
        <f>Lists!A11</f>
        <v>0</v>
      </c>
      <c r="B11" s="5">
        <f>SUMIFS('Hours Log'!$D$5:$D$504,'Hours Log'!$C$5:$C$504,$A11,'Hours Log'!$B$5:$B$504,"&gt;="&amp;DATE(Dashboard!$B$4-1,10,1),'Hours Log'!$B$5:$B$504,"&lt;"&amp;DATE(Dashboard!$B$4,10,1))</f>
        <v>0</v>
      </c>
      <c r="C11" s="5">
        <f>SUMIFS('Hours Log'!$E$5:$E$504,'Hours Log'!$C$5:$C$504,$A11,'Hours Log'!$B$5:$B$504,"&gt;="&amp;DATE(Dashboard!$B$4-1,10,1),'Hours Log'!$B$5:$B$504,"&lt;"&amp;DATE(Dashboard!$B$4,10,1))</f>
        <v>0</v>
      </c>
      <c r="D11" s="5">
        <f>SUMIFS('Hours Log'!$F$5:$F$504,'Hours Log'!$C$5:$C$504,$A11,'Hours Log'!$B$5:$B$504,"&gt;="&amp;DATE(Dashboard!$B$4-1,10,1),'Hours Log'!$B$5:$B$504,"&lt;"&amp;DATE(Dashboard!$B$4,10,1))</f>
        <v>0</v>
      </c>
      <c r="E11" s="8">
        <f>SUM(B11:D11)</f>
        <v>0</v>
      </c>
    </row>
    <row r="12">
      <c r="A12" s="3">
        <f>Lists!A12</f>
        <v>0</v>
      </c>
      <c r="B12" s="5">
        <f>SUMIFS('Hours Log'!$D$5:$D$504,'Hours Log'!$C$5:$C$504,$A12,'Hours Log'!$B$5:$B$504,"&gt;="&amp;DATE(Dashboard!$B$4-1,10,1),'Hours Log'!$B$5:$B$504,"&lt;"&amp;DATE(Dashboard!$B$4,10,1))</f>
        <v>0</v>
      </c>
      <c r="C12" s="5">
        <f>SUMIFS('Hours Log'!$E$5:$E$504,'Hours Log'!$C$5:$C$504,$A12,'Hours Log'!$B$5:$B$504,"&gt;="&amp;DATE(Dashboard!$B$4-1,10,1),'Hours Log'!$B$5:$B$504,"&lt;"&amp;DATE(Dashboard!$B$4,10,1))</f>
        <v>0</v>
      </c>
      <c r="D12" s="5">
        <f>SUMIFS('Hours Log'!$F$5:$F$504,'Hours Log'!$C$5:$C$504,$A12,'Hours Log'!$B$5:$B$504,"&gt;="&amp;DATE(Dashboard!$B$4-1,10,1),'Hours Log'!$B$5:$B$504,"&lt;"&amp;DATE(Dashboard!$B$4,10,1))</f>
        <v>0</v>
      </c>
      <c r="E12" s="8">
        <f>SUM(B12:D12)</f>
        <v>0</v>
      </c>
    </row>
    <row r="13">
      <c r="A13" s="3">
        <f>Lists!A13</f>
        <v>0</v>
      </c>
      <c r="B13" s="5">
        <f>SUMIFS('Hours Log'!$D$5:$D$504,'Hours Log'!$C$5:$C$504,$A13,'Hours Log'!$B$5:$B$504,"&gt;="&amp;DATE(Dashboard!$B$4-1,10,1),'Hours Log'!$B$5:$B$504,"&lt;"&amp;DATE(Dashboard!$B$4,10,1))</f>
        <v>0</v>
      </c>
      <c r="C13" s="5">
        <f>SUMIFS('Hours Log'!$E$5:$E$504,'Hours Log'!$C$5:$C$504,$A13,'Hours Log'!$B$5:$B$504,"&gt;="&amp;DATE(Dashboard!$B$4-1,10,1),'Hours Log'!$B$5:$B$504,"&lt;"&amp;DATE(Dashboard!$B$4,10,1))</f>
        <v>0</v>
      </c>
      <c r="D13" s="5">
        <f>SUMIFS('Hours Log'!$F$5:$F$504,'Hours Log'!$C$5:$C$504,$A13,'Hours Log'!$B$5:$B$504,"&gt;="&amp;DATE(Dashboard!$B$4-1,10,1),'Hours Log'!$B$5:$B$504,"&lt;"&amp;DATE(Dashboard!$B$4,10,1))</f>
        <v>0</v>
      </c>
      <c r="E13" s="8">
        <f>SUM(B13:D13)</f>
        <v>0</v>
      </c>
    </row>
    <row r="14">
      <c r="A14" s="3">
        <f>Lists!A14</f>
        <v>0</v>
      </c>
      <c r="B14" s="5">
        <f>SUMIFS('Hours Log'!$D$5:$D$504,'Hours Log'!$C$5:$C$504,$A14,'Hours Log'!$B$5:$B$504,"&gt;="&amp;DATE(Dashboard!$B$4-1,10,1),'Hours Log'!$B$5:$B$504,"&lt;"&amp;DATE(Dashboard!$B$4,10,1))</f>
        <v>0</v>
      </c>
      <c r="C14" s="5">
        <f>SUMIFS('Hours Log'!$E$5:$E$504,'Hours Log'!$C$5:$C$504,$A14,'Hours Log'!$B$5:$B$504,"&gt;="&amp;DATE(Dashboard!$B$4-1,10,1),'Hours Log'!$B$5:$B$504,"&lt;"&amp;DATE(Dashboard!$B$4,10,1))</f>
        <v>0</v>
      </c>
      <c r="D14" s="5">
        <f>SUMIFS('Hours Log'!$F$5:$F$504,'Hours Log'!$C$5:$C$504,$A14,'Hours Log'!$B$5:$B$504,"&gt;="&amp;DATE(Dashboard!$B$4-1,10,1),'Hours Log'!$B$5:$B$504,"&lt;"&amp;DATE(Dashboard!$B$4,10,1))</f>
        <v>0</v>
      </c>
      <c r="E14" s="8">
        <f>SUM(B14:D14)</f>
        <v>0</v>
      </c>
    </row>
    <row r="15">
      <c r="A15" s="3">
        <f>Lists!A15</f>
        <v>0</v>
      </c>
      <c r="B15" s="5">
        <f>SUMIFS('Hours Log'!$D$5:$D$504,'Hours Log'!$C$5:$C$504,$A15,'Hours Log'!$B$5:$B$504,"&gt;="&amp;DATE(Dashboard!$B$4-1,10,1),'Hours Log'!$B$5:$B$504,"&lt;"&amp;DATE(Dashboard!$B$4,10,1))</f>
        <v>0</v>
      </c>
      <c r="C15" s="5">
        <f>SUMIFS('Hours Log'!$E$5:$E$504,'Hours Log'!$C$5:$C$504,$A15,'Hours Log'!$B$5:$B$504,"&gt;="&amp;DATE(Dashboard!$B$4-1,10,1),'Hours Log'!$B$5:$B$504,"&lt;"&amp;DATE(Dashboard!$B$4,10,1))</f>
        <v>0</v>
      </c>
      <c r="D15" s="5">
        <f>SUMIFS('Hours Log'!$F$5:$F$504,'Hours Log'!$C$5:$C$504,$A15,'Hours Log'!$B$5:$B$504,"&gt;="&amp;DATE(Dashboard!$B$4-1,10,1),'Hours Log'!$B$5:$B$504,"&lt;"&amp;DATE(Dashboard!$B$4,10,1))</f>
        <v>0</v>
      </c>
      <c r="E15" s="8">
        <f>SUM(B15:D15)</f>
        <v>0</v>
      </c>
    </row>
    <row r="16">
      <c r="A16" s="3">
        <f>Lists!A16</f>
        <v>0</v>
      </c>
      <c r="B16" s="5">
        <f>SUMIFS('Hours Log'!$D$5:$D$504,'Hours Log'!$C$5:$C$504,$A16,'Hours Log'!$B$5:$B$504,"&gt;="&amp;DATE(Dashboard!$B$4-1,10,1),'Hours Log'!$B$5:$B$504,"&lt;"&amp;DATE(Dashboard!$B$4,10,1))</f>
        <v>0</v>
      </c>
      <c r="C16" s="5">
        <f>SUMIFS('Hours Log'!$E$5:$E$504,'Hours Log'!$C$5:$C$504,$A16,'Hours Log'!$B$5:$B$504,"&gt;="&amp;DATE(Dashboard!$B$4-1,10,1),'Hours Log'!$B$5:$B$504,"&lt;"&amp;DATE(Dashboard!$B$4,10,1))</f>
        <v>0</v>
      </c>
      <c r="D16" s="5">
        <f>SUMIFS('Hours Log'!$F$5:$F$504,'Hours Log'!$C$5:$C$504,$A16,'Hours Log'!$B$5:$B$504,"&gt;="&amp;DATE(Dashboard!$B$4-1,10,1),'Hours Log'!$B$5:$B$504,"&lt;"&amp;DATE(Dashboard!$B$4,10,1))</f>
        <v>0</v>
      </c>
      <c r="E16" s="8">
        <f>SUM(B16:D16)</f>
        <v>0</v>
      </c>
    </row>
    <row r="17">
      <c r="A17" s="3">
        <f>Lists!A17</f>
        <v>0</v>
      </c>
      <c r="B17" s="5">
        <f>SUMIFS('Hours Log'!$D$5:$D$504,'Hours Log'!$C$5:$C$504,$A17,'Hours Log'!$B$5:$B$504,"&gt;="&amp;DATE(Dashboard!$B$4-1,10,1),'Hours Log'!$B$5:$B$504,"&lt;"&amp;DATE(Dashboard!$B$4,10,1))</f>
        <v>0</v>
      </c>
      <c r="C17" s="5">
        <f>SUMIFS('Hours Log'!$E$5:$E$504,'Hours Log'!$C$5:$C$504,$A17,'Hours Log'!$B$5:$B$504,"&gt;="&amp;DATE(Dashboard!$B$4-1,10,1),'Hours Log'!$B$5:$B$504,"&lt;"&amp;DATE(Dashboard!$B$4,10,1))</f>
        <v>0</v>
      </c>
      <c r="D17" s="5">
        <f>SUMIFS('Hours Log'!$F$5:$F$504,'Hours Log'!$C$5:$C$504,$A17,'Hours Log'!$B$5:$B$504,"&gt;="&amp;DATE(Dashboard!$B$4-1,10,1),'Hours Log'!$B$5:$B$504,"&lt;"&amp;DATE(Dashboard!$B$4,10,1))</f>
        <v>0</v>
      </c>
      <c r="E17" s="8">
        <f>SUM(B17:D17)</f>
        <v>0</v>
      </c>
    </row>
    <row r="18">
      <c r="A18" s="3">
        <f>Lists!A18</f>
        <v>0</v>
      </c>
      <c r="B18" s="5">
        <f>SUMIFS('Hours Log'!$D$5:$D$504,'Hours Log'!$C$5:$C$504,$A18,'Hours Log'!$B$5:$B$504,"&gt;="&amp;DATE(Dashboard!$B$4-1,10,1),'Hours Log'!$B$5:$B$504,"&lt;"&amp;DATE(Dashboard!$B$4,10,1))</f>
        <v>0</v>
      </c>
      <c r="C18" s="5">
        <f>SUMIFS('Hours Log'!$E$5:$E$504,'Hours Log'!$C$5:$C$504,$A18,'Hours Log'!$B$5:$B$504,"&gt;="&amp;DATE(Dashboard!$B$4-1,10,1),'Hours Log'!$B$5:$B$504,"&lt;"&amp;DATE(Dashboard!$B$4,10,1))</f>
        <v>0</v>
      </c>
      <c r="D18" s="5">
        <f>SUMIFS('Hours Log'!$F$5:$F$504,'Hours Log'!$C$5:$C$504,$A18,'Hours Log'!$B$5:$B$504,"&gt;="&amp;DATE(Dashboard!$B$4-1,10,1),'Hours Log'!$B$5:$B$504,"&lt;"&amp;DATE(Dashboard!$B$4,10,1))</f>
        <v>0</v>
      </c>
      <c r="E18" s="8">
        <f>SUM(B18:D18)</f>
        <v>0</v>
      </c>
    </row>
    <row r="19">
      <c r="A19" s="3">
        <f>Lists!A19</f>
        <v>0</v>
      </c>
      <c r="B19" s="5">
        <f>SUMIFS('Hours Log'!$D$5:$D$504,'Hours Log'!$C$5:$C$504,$A19,'Hours Log'!$B$5:$B$504,"&gt;="&amp;DATE(Dashboard!$B$4-1,10,1),'Hours Log'!$B$5:$B$504,"&lt;"&amp;DATE(Dashboard!$B$4,10,1))</f>
        <v>0</v>
      </c>
      <c r="C19" s="5">
        <f>SUMIFS('Hours Log'!$E$5:$E$504,'Hours Log'!$C$5:$C$504,$A19,'Hours Log'!$B$5:$B$504,"&gt;="&amp;DATE(Dashboard!$B$4-1,10,1),'Hours Log'!$B$5:$B$504,"&lt;"&amp;DATE(Dashboard!$B$4,10,1))</f>
        <v>0</v>
      </c>
      <c r="D19" s="5">
        <f>SUMIFS('Hours Log'!$F$5:$F$504,'Hours Log'!$C$5:$C$504,$A19,'Hours Log'!$B$5:$B$504,"&gt;="&amp;DATE(Dashboard!$B$4-1,10,1),'Hours Log'!$B$5:$B$504,"&lt;"&amp;DATE(Dashboard!$B$4,10,1))</f>
        <v>0</v>
      </c>
      <c r="E19" s="8">
        <f>SUM(B19:D19)</f>
        <v>0</v>
      </c>
    </row>
    <row r="20">
      <c r="A20" s="3">
        <f>Lists!A20</f>
        <v>0</v>
      </c>
      <c r="B20" s="5">
        <f>SUMIFS('Hours Log'!$D$5:$D$504,'Hours Log'!$C$5:$C$504,$A20,'Hours Log'!$B$5:$B$504,"&gt;="&amp;DATE(Dashboard!$B$4-1,10,1),'Hours Log'!$B$5:$B$504,"&lt;"&amp;DATE(Dashboard!$B$4,10,1))</f>
        <v>0</v>
      </c>
      <c r="C20" s="5">
        <f>SUMIFS('Hours Log'!$E$5:$E$504,'Hours Log'!$C$5:$C$504,$A20,'Hours Log'!$B$5:$B$504,"&gt;="&amp;DATE(Dashboard!$B$4-1,10,1),'Hours Log'!$B$5:$B$504,"&lt;"&amp;DATE(Dashboard!$B$4,10,1))</f>
        <v>0</v>
      </c>
      <c r="D20" s="5">
        <f>SUMIFS('Hours Log'!$F$5:$F$504,'Hours Log'!$C$5:$C$504,$A20,'Hours Log'!$B$5:$B$504,"&gt;="&amp;DATE(Dashboard!$B$4-1,10,1),'Hours Log'!$B$5:$B$504,"&lt;"&amp;DATE(Dashboard!$B$4,10,1))</f>
        <v>0</v>
      </c>
      <c r="E20" s="8">
        <f>SUM(B20:D20)</f>
        <v>0</v>
      </c>
    </row>
    <row r="21">
      <c r="A21" s="3">
        <f>Lists!A21</f>
        <v>0</v>
      </c>
      <c r="B21" s="5">
        <f>SUMIFS('Hours Log'!$D$5:$D$504,'Hours Log'!$C$5:$C$504,$A21,'Hours Log'!$B$5:$B$504,"&gt;="&amp;DATE(Dashboard!$B$4-1,10,1),'Hours Log'!$B$5:$B$504,"&lt;"&amp;DATE(Dashboard!$B$4,10,1))</f>
        <v>0</v>
      </c>
      <c r="C21" s="5">
        <f>SUMIFS('Hours Log'!$E$5:$E$504,'Hours Log'!$C$5:$C$504,$A21,'Hours Log'!$B$5:$B$504,"&gt;="&amp;DATE(Dashboard!$B$4-1,10,1),'Hours Log'!$B$5:$B$504,"&lt;"&amp;DATE(Dashboard!$B$4,10,1))</f>
        <v>0</v>
      </c>
      <c r="D21" s="5">
        <f>SUMIFS('Hours Log'!$F$5:$F$504,'Hours Log'!$C$5:$C$504,$A21,'Hours Log'!$B$5:$B$504,"&gt;="&amp;DATE(Dashboard!$B$4-1,10,1),'Hours Log'!$B$5:$B$504,"&lt;"&amp;DATE(Dashboard!$B$4,10,1))</f>
        <v>0</v>
      </c>
      <c r="E21" s="8">
        <f>SUM(B21:D21)</f>
        <v>0</v>
      </c>
    </row>
    <row r="22">
      <c r="A22" s="3">
        <f>Lists!A22</f>
        <v>0</v>
      </c>
      <c r="B22" s="5">
        <f>SUMIFS('Hours Log'!$D$5:$D$504,'Hours Log'!$C$5:$C$504,$A22,'Hours Log'!$B$5:$B$504,"&gt;="&amp;DATE(Dashboard!$B$4-1,10,1),'Hours Log'!$B$5:$B$504,"&lt;"&amp;DATE(Dashboard!$B$4,10,1))</f>
        <v>0</v>
      </c>
      <c r="C22" s="5">
        <f>SUMIFS('Hours Log'!$E$5:$E$504,'Hours Log'!$C$5:$C$504,$A22,'Hours Log'!$B$5:$B$504,"&gt;="&amp;DATE(Dashboard!$B$4-1,10,1),'Hours Log'!$B$5:$B$504,"&lt;"&amp;DATE(Dashboard!$B$4,10,1))</f>
        <v>0</v>
      </c>
      <c r="D22" s="5">
        <f>SUMIFS('Hours Log'!$F$5:$F$504,'Hours Log'!$C$5:$C$504,$A22,'Hours Log'!$B$5:$B$504,"&gt;="&amp;DATE(Dashboard!$B$4-1,10,1),'Hours Log'!$B$5:$B$504,"&lt;"&amp;DATE(Dashboard!$B$4,10,1))</f>
        <v>0</v>
      </c>
      <c r="E22" s="8">
        <f>SUM(B22:D22)</f>
        <v>0</v>
      </c>
    </row>
    <row r="23">
      <c r="A23" s="3">
        <f>Lists!A23</f>
        <v>0</v>
      </c>
      <c r="B23" s="5">
        <f>SUMIFS('Hours Log'!$D$5:$D$504,'Hours Log'!$C$5:$C$504,$A23,'Hours Log'!$B$5:$B$504,"&gt;="&amp;DATE(Dashboard!$B$4-1,10,1),'Hours Log'!$B$5:$B$504,"&lt;"&amp;DATE(Dashboard!$B$4,10,1))</f>
        <v>0</v>
      </c>
      <c r="C23" s="5">
        <f>SUMIFS('Hours Log'!$E$5:$E$504,'Hours Log'!$C$5:$C$504,$A23,'Hours Log'!$B$5:$B$504,"&gt;="&amp;DATE(Dashboard!$B$4-1,10,1),'Hours Log'!$B$5:$B$504,"&lt;"&amp;DATE(Dashboard!$B$4,10,1))</f>
        <v>0</v>
      </c>
      <c r="D23" s="5">
        <f>SUMIFS('Hours Log'!$F$5:$F$504,'Hours Log'!$C$5:$C$504,$A23,'Hours Log'!$B$5:$B$504,"&gt;="&amp;DATE(Dashboard!$B$4-1,10,1),'Hours Log'!$B$5:$B$504,"&lt;"&amp;DATE(Dashboard!$B$4,10,1))</f>
        <v>0</v>
      </c>
      <c r="E23" s="8">
        <f>SUM(B23:D23)</f>
        <v>0</v>
      </c>
    </row>
    <row r="24">
      <c r="A24" s="3">
        <f>Lists!A24</f>
        <v>0</v>
      </c>
      <c r="B24" s="5">
        <f>SUMIFS('Hours Log'!$D$5:$D$504,'Hours Log'!$C$5:$C$504,$A24,'Hours Log'!$B$5:$B$504,"&gt;="&amp;DATE(Dashboard!$B$4-1,10,1),'Hours Log'!$B$5:$B$504,"&lt;"&amp;DATE(Dashboard!$B$4,10,1))</f>
        <v>0</v>
      </c>
      <c r="C24" s="5">
        <f>SUMIFS('Hours Log'!$E$5:$E$504,'Hours Log'!$C$5:$C$504,$A24,'Hours Log'!$B$5:$B$504,"&gt;="&amp;DATE(Dashboard!$B$4-1,10,1),'Hours Log'!$B$5:$B$504,"&lt;"&amp;DATE(Dashboard!$B$4,10,1))</f>
        <v>0</v>
      </c>
      <c r="D24" s="5">
        <f>SUMIFS('Hours Log'!$F$5:$F$504,'Hours Log'!$C$5:$C$504,$A24,'Hours Log'!$B$5:$B$504,"&gt;="&amp;DATE(Dashboard!$B$4-1,10,1),'Hours Log'!$B$5:$B$504,"&lt;"&amp;DATE(Dashboard!$B$4,10,1))</f>
        <v>0</v>
      </c>
      <c r="E24" s="8">
        <f>SUM(B24:D24)</f>
        <v>0</v>
      </c>
    </row>
    <row r="25">
      <c r="A25" s="3">
        <f>Lists!A25</f>
        <v>0</v>
      </c>
      <c r="B25" s="5">
        <f>SUMIFS('Hours Log'!$D$5:$D$504,'Hours Log'!$C$5:$C$504,$A25,'Hours Log'!$B$5:$B$504,"&gt;="&amp;DATE(Dashboard!$B$4-1,10,1),'Hours Log'!$B$5:$B$504,"&lt;"&amp;DATE(Dashboard!$B$4,10,1))</f>
        <v>0</v>
      </c>
      <c r="C25" s="5">
        <f>SUMIFS('Hours Log'!$E$5:$E$504,'Hours Log'!$C$5:$C$504,$A25,'Hours Log'!$B$5:$B$504,"&gt;="&amp;DATE(Dashboard!$B$4-1,10,1),'Hours Log'!$B$5:$B$504,"&lt;"&amp;DATE(Dashboard!$B$4,10,1))</f>
        <v>0</v>
      </c>
      <c r="D25" s="5">
        <f>SUMIFS('Hours Log'!$F$5:$F$504,'Hours Log'!$C$5:$C$504,$A25,'Hours Log'!$B$5:$B$504,"&gt;="&amp;DATE(Dashboard!$B$4-1,10,1),'Hours Log'!$B$5:$B$504,"&lt;"&amp;DATE(Dashboard!$B$4,10,1))</f>
        <v>0</v>
      </c>
      <c r="E25" s="8">
        <f>SUM(B25:D25)</f>
        <v>0</v>
      </c>
    </row>
    <row r="26">
      <c r="A26" s="3">
        <f>Lists!A26</f>
        <v>0</v>
      </c>
      <c r="B26" s="5">
        <f>SUMIFS('Hours Log'!$D$5:$D$504,'Hours Log'!$C$5:$C$504,$A26,'Hours Log'!$B$5:$B$504,"&gt;="&amp;DATE(Dashboard!$B$4-1,10,1),'Hours Log'!$B$5:$B$504,"&lt;"&amp;DATE(Dashboard!$B$4,10,1))</f>
        <v>0</v>
      </c>
      <c r="C26" s="5">
        <f>SUMIFS('Hours Log'!$E$5:$E$504,'Hours Log'!$C$5:$C$504,$A26,'Hours Log'!$B$5:$B$504,"&gt;="&amp;DATE(Dashboard!$B$4-1,10,1),'Hours Log'!$B$5:$B$504,"&lt;"&amp;DATE(Dashboard!$B$4,10,1))</f>
        <v>0</v>
      </c>
      <c r="D26" s="5">
        <f>SUMIFS('Hours Log'!$F$5:$F$504,'Hours Log'!$C$5:$C$504,$A26,'Hours Log'!$B$5:$B$504,"&gt;="&amp;DATE(Dashboard!$B$4-1,10,1),'Hours Log'!$B$5:$B$504,"&lt;"&amp;DATE(Dashboard!$B$4,10,1))</f>
        <v>0</v>
      </c>
      <c r="E26" s="8">
        <f>SUM(B26:D26)</f>
        <v>0</v>
      </c>
    </row>
    <row r="27">
      <c r="A27" s="3">
        <f>Lists!A27</f>
        <v>0</v>
      </c>
      <c r="B27" s="5">
        <f>SUMIFS('Hours Log'!$D$5:$D$504,'Hours Log'!$C$5:$C$504,$A27,'Hours Log'!$B$5:$B$504,"&gt;="&amp;DATE(Dashboard!$B$4-1,10,1),'Hours Log'!$B$5:$B$504,"&lt;"&amp;DATE(Dashboard!$B$4,10,1))</f>
        <v>0</v>
      </c>
      <c r="C27" s="5">
        <f>SUMIFS('Hours Log'!$E$5:$E$504,'Hours Log'!$C$5:$C$504,$A27,'Hours Log'!$B$5:$B$504,"&gt;="&amp;DATE(Dashboard!$B$4-1,10,1),'Hours Log'!$B$5:$B$504,"&lt;"&amp;DATE(Dashboard!$B$4,10,1))</f>
        <v>0</v>
      </c>
      <c r="D27" s="5">
        <f>SUMIFS('Hours Log'!$F$5:$F$504,'Hours Log'!$C$5:$C$504,$A27,'Hours Log'!$B$5:$B$504,"&gt;="&amp;DATE(Dashboard!$B$4-1,10,1),'Hours Log'!$B$5:$B$504,"&lt;"&amp;DATE(Dashboard!$B$4,10,1))</f>
        <v>0</v>
      </c>
      <c r="E27" s="8">
        <f>SUM(B27:D27)</f>
        <v>0</v>
      </c>
    </row>
    <row r="28">
      <c r="A28" s="3">
        <f>Lists!A28</f>
        <v>0</v>
      </c>
      <c r="B28" s="5">
        <f>SUMIFS('Hours Log'!$D$5:$D$504,'Hours Log'!$C$5:$C$504,$A28,'Hours Log'!$B$5:$B$504,"&gt;="&amp;DATE(Dashboard!$B$4-1,10,1),'Hours Log'!$B$5:$B$504,"&lt;"&amp;DATE(Dashboard!$B$4,10,1))</f>
        <v>0</v>
      </c>
      <c r="C28" s="5">
        <f>SUMIFS('Hours Log'!$E$5:$E$504,'Hours Log'!$C$5:$C$504,$A28,'Hours Log'!$B$5:$B$504,"&gt;="&amp;DATE(Dashboard!$B$4-1,10,1),'Hours Log'!$B$5:$B$504,"&lt;"&amp;DATE(Dashboard!$B$4,10,1))</f>
        <v>0</v>
      </c>
      <c r="D28" s="5">
        <f>SUMIFS('Hours Log'!$F$5:$F$504,'Hours Log'!$C$5:$C$504,$A28,'Hours Log'!$B$5:$B$504,"&gt;="&amp;DATE(Dashboard!$B$4-1,10,1),'Hours Log'!$B$5:$B$504,"&lt;"&amp;DATE(Dashboard!$B$4,10,1))</f>
        <v>0</v>
      </c>
      <c r="E28" s="8">
        <f>SUM(B28:D28)</f>
        <v>0</v>
      </c>
    </row>
    <row r="29">
      <c r="A29" s="3">
        <f>Lists!A29</f>
        <v>0</v>
      </c>
      <c r="B29" s="5">
        <f>SUMIFS('Hours Log'!$D$5:$D$504,'Hours Log'!$C$5:$C$504,$A29,'Hours Log'!$B$5:$B$504,"&gt;="&amp;DATE(Dashboard!$B$4-1,10,1),'Hours Log'!$B$5:$B$504,"&lt;"&amp;DATE(Dashboard!$B$4,10,1))</f>
        <v>0</v>
      </c>
      <c r="C29" s="5">
        <f>SUMIFS('Hours Log'!$E$5:$E$504,'Hours Log'!$C$5:$C$504,$A29,'Hours Log'!$B$5:$B$504,"&gt;="&amp;DATE(Dashboard!$B$4-1,10,1),'Hours Log'!$B$5:$B$504,"&lt;"&amp;DATE(Dashboard!$B$4,10,1))</f>
        <v>0</v>
      </c>
      <c r="D29" s="5">
        <f>SUMIFS('Hours Log'!$F$5:$F$504,'Hours Log'!$C$5:$C$504,$A29,'Hours Log'!$B$5:$B$504,"&gt;="&amp;DATE(Dashboard!$B$4-1,10,1),'Hours Log'!$B$5:$B$504,"&lt;"&amp;DATE(Dashboard!$B$4,10,1))</f>
        <v>0</v>
      </c>
      <c r="E29" s="8">
        <f>SUM(B29:D29)</f>
        <v>0</v>
      </c>
    </row>
    <row r="30">
      <c r="A30" s="3">
        <f>Lists!A30</f>
        <v>0</v>
      </c>
      <c r="B30" s="5">
        <f>SUMIFS('Hours Log'!$D$5:$D$504,'Hours Log'!$C$5:$C$504,$A30,'Hours Log'!$B$5:$B$504,"&gt;="&amp;DATE(Dashboard!$B$4-1,10,1),'Hours Log'!$B$5:$B$504,"&lt;"&amp;DATE(Dashboard!$B$4,10,1))</f>
        <v>0</v>
      </c>
      <c r="C30" s="5">
        <f>SUMIFS('Hours Log'!$E$5:$E$504,'Hours Log'!$C$5:$C$504,$A30,'Hours Log'!$B$5:$B$504,"&gt;="&amp;DATE(Dashboard!$B$4-1,10,1),'Hours Log'!$B$5:$B$504,"&lt;"&amp;DATE(Dashboard!$B$4,10,1))</f>
        <v>0</v>
      </c>
      <c r="D30" s="5">
        <f>SUMIFS('Hours Log'!$F$5:$F$504,'Hours Log'!$C$5:$C$504,$A30,'Hours Log'!$B$5:$B$504,"&gt;="&amp;DATE(Dashboard!$B$4-1,10,1),'Hours Log'!$B$5:$B$504,"&lt;"&amp;DATE(Dashboard!$B$4,10,1))</f>
        <v>0</v>
      </c>
      <c r="E30" s="8">
        <f>SUM(B30:D30)</f>
        <v>0</v>
      </c>
    </row>
    <row r="31">
      <c r="A31" s="3">
        <f>Lists!A31</f>
        <v>0</v>
      </c>
      <c r="B31" s="5">
        <f>SUMIFS('Hours Log'!$D$5:$D$504,'Hours Log'!$C$5:$C$504,$A31,'Hours Log'!$B$5:$B$504,"&gt;="&amp;DATE(Dashboard!$B$4-1,10,1),'Hours Log'!$B$5:$B$504,"&lt;"&amp;DATE(Dashboard!$B$4,10,1))</f>
        <v>0</v>
      </c>
      <c r="C31" s="5">
        <f>SUMIFS('Hours Log'!$E$5:$E$504,'Hours Log'!$C$5:$C$504,$A31,'Hours Log'!$B$5:$B$504,"&gt;="&amp;DATE(Dashboard!$B$4-1,10,1),'Hours Log'!$B$5:$B$504,"&lt;"&amp;DATE(Dashboard!$B$4,10,1))</f>
        <v>0</v>
      </c>
      <c r="D31" s="5">
        <f>SUMIFS('Hours Log'!$F$5:$F$504,'Hours Log'!$C$5:$C$504,$A31,'Hours Log'!$B$5:$B$504,"&gt;="&amp;DATE(Dashboard!$B$4-1,10,1),'Hours Log'!$B$5:$B$504,"&lt;"&amp;DATE(Dashboard!$B$4,10,1))</f>
        <v>0</v>
      </c>
      <c r="E31" s="8">
        <f>SUM(B31:D31)</f>
        <v>0</v>
      </c>
    </row>
    <row r="32">
      <c r="A32" s="3">
        <f>Lists!A32</f>
        <v>0</v>
      </c>
      <c r="B32" s="5">
        <f>SUMIFS('Hours Log'!$D$5:$D$504,'Hours Log'!$C$5:$C$504,$A32,'Hours Log'!$B$5:$B$504,"&gt;="&amp;DATE(Dashboard!$B$4-1,10,1),'Hours Log'!$B$5:$B$504,"&lt;"&amp;DATE(Dashboard!$B$4,10,1))</f>
        <v>0</v>
      </c>
      <c r="C32" s="5">
        <f>SUMIFS('Hours Log'!$E$5:$E$504,'Hours Log'!$C$5:$C$504,$A32,'Hours Log'!$B$5:$B$504,"&gt;="&amp;DATE(Dashboard!$B$4-1,10,1),'Hours Log'!$B$5:$B$504,"&lt;"&amp;DATE(Dashboard!$B$4,10,1))</f>
        <v>0</v>
      </c>
      <c r="D32" s="5">
        <f>SUMIFS('Hours Log'!$F$5:$F$504,'Hours Log'!$C$5:$C$504,$A32,'Hours Log'!$B$5:$B$504,"&gt;="&amp;DATE(Dashboard!$B$4-1,10,1),'Hours Log'!$B$5:$B$504,"&lt;"&amp;DATE(Dashboard!$B$4,10,1))</f>
        <v>0</v>
      </c>
      <c r="E32" s="8">
        <f>SUM(B32:D32)</f>
        <v>0</v>
      </c>
    </row>
    <row r="33">
      <c r="A33" s="3">
        <f>Lists!A33</f>
        <v>0</v>
      </c>
      <c r="B33" s="5">
        <f>SUMIFS('Hours Log'!$D$5:$D$504,'Hours Log'!$C$5:$C$504,$A33,'Hours Log'!$B$5:$B$504,"&gt;="&amp;DATE(Dashboard!$B$4-1,10,1),'Hours Log'!$B$5:$B$504,"&lt;"&amp;DATE(Dashboard!$B$4,10,1))</f>
        <v>0</v>
      </c>
      <c r="C33" s="5">
        <f>SUMIFS('Hours Log'!$E$5:$E$504,'Hours Log'!$C$5:$C$504,$A33,'Hours Log'!$B$5:$B$504,"&gt;="&amp;DATE(Dashboard!$B$4-1,10,1),'Hours Log'!$B$5:$B$504,"&lt;"&amp;DATE(Dashboard!$B$4,10,1))</f>
        <v>0</v>
      </c>
      <c r="D33" s="5">
        <f>SUMIFS('Hours Log'!$F$5:$F$504,'Hours Log'!$C$5:$C$504,$A33,'Hours Log'!$B$5:$B$504,"&gt;="&amp;DATE(Dashboard!$B$4-1,10,1),'Hours Log'!$B$5:$B$504,"&lt;"&amp;DATE(Dashboard!$B$4,10,1))</f>
        <v>0</v>
      </c>
      <c r="E33" s="8">
        <f>SUM(B33:D33)</f>
        <v>0</v>
      </c>
    </row>
    <row r="34">
      <c r="A34" s="3">
        <f>Lists!A34</f>
        <v>0</v>
      </c>
      <c r="B34" s="5">
        <f>SUMIFS('Hours Log'!$D$5:$D$504,'Hours Log'!$C$5:$C$504,$A34,'Hours Log'!$B$5:$B$504,"&gt;="&amp;DATE(Dashboard!$B$4-1,10,1),'Hours Log'!$B$5:$B$504,"&lt;"&amp;DATE(Dashboard!$B$4,10,1))</f>
        <v>0</v>
      </c>
      <c r="C34" s="5">
        <f>SUMIFS('Hours Log'!$E$5:$E$504,'Hours Log'!$C$5:$C$504,$A34,'Hours Log'!$B$5:$B$504,"&gt;="&amp;DATE(Dashboard!$B$4-1,10,1),'Hours Log'!$B$5:$B$504,"&lt;"&amp;DATE(Dashboard!$B$4,10,1))</f>
        <v>0</v>
      </c>
      <c r="D34" s="5">
        <f>SUMIFS('Hours Log'!$F$5:$F$504,'Hours Log'!$C$5:$C$504,$A34,'Hours Log'!$B$5:$B$504,"&gt;="&amp;DATE(Dashboard!$B$4-1,10,1),'Hours Log'!$B$5:$B$504,"&lt;"&amp;DATE(Dashboard!$B$4,10,1))</f>
        <v>0</v>
      </c>
      <c r="E34" s="8">
        <f>SUM(B34:D34)</f>
        <v>0</v>
      </c>
    </row>
    <row r="35">
      <c r="A35" s="3">
        <f>Lists!A35</f>
        <v>0</v>
      </c>
      <c r="B35" s="5">
        <f>SUMIFS('Hours Log'!$D$5:$D$504,'Hours Log'!$C$5:$C$504,$A35,'Hours Log'!$B$5:$B$504,"&gt;="&amp;DATE(Dashboard!$B$4-1,10,1),'Hours Log'!$B$5:$B$504,"&lt;"&amp;DATE(Dashboard!$B$4,10,1))</f>
        <v>0</v>
      </c>
      <c r="C35" s="5">
        <f>SUMIFS('Hours Log'!$E$5:$E$504,'Hours Log'!$C$5:$C$504,$A35,'Hours Log'!$B$5:$B$504,"&gt;="&amp;DATE(Dashboard!$B$4-1,10,1),'Hours Log'!$B$5:$B$504,"&lt;"&amp;DATE(Dashboard!$B$4,10,1))</f>
        <v>0</v>
      </c>
      <c r="D35" s="5">
        <f>SUMIFS('Hours Log'!$F$5:$F$504,'Hours Log'!$C$5:$C$504,$A35,'Hours Log'!$B$5:$B$504,"&gt;="&amp;DATE(Dashboard!$B$4-1,10,1),'Hours Log'!$B$5:$B$504,"&lt;"&amp;DATE(Dashboard!$B$4,10,1))</f>
        <v>0</v>
      </c>
      <c r="E35" s="8">
        <f>SUM(B35:D35)</f>
        <v>0</v>
      </c>
    </row>
    <row r="36">
      <c r="A36" s="3">
        <f>Lists!A36</f>
        <v>0</v>
      </c>
      <c r="B36" s="5">
        <f>SUMIFS('Hours Log'!$D$5:$D$504,'Hours Log'!$C$5:$C$504,$A36,'Hours Log'!$B$5:$B$504,"&gt;="&amp;DATE(Dashboard!$B$4-1,10,1),'Hours Log'!$B$5:$B$504,"&lt;"&amp;DATE(Dashboard!$B$4,10,1))</f>
        <v>0</v>
      </c>
      <c r="C36" s="5">
        <f>SUMIFS('Hours Log'!$E$5:$E$504,'Hours Log'!$C$5:$C$504,$A36,'Hours Log'!$B$5:$B$504,"&gt;="&amp;DATE(Dashboard!$B$4-1,10,1),'Hours Log'!$B$5:$B$504,"&lt;"&amp;DATE(Dashboard!$B$4,10,1))</f>
        <v>0</v>
      </c>
      <c r="D36" s="5">
        <f>SUMIFS('Hours Log'!$F$5:$F$504,'Hours Log'!$C$5:$C$504,$A36,'Hours Log'!$B$5:$B$504,"&gt;="&amp;DATE(Dashboard!$B$4-1,10,1),'Hours Log'!$B$5:$B$504,"&lt;"&amp;DATE(Dashboard!$B$4,10,1))</f>
        <v>0</v>
      </c>
      <c r="E36" s="8">
        <f>SUM(B36:D36)</f>
        <v>0</v>
      </c>
    </row>
    <row r="37">
      <c r="A37" s="3">
        <f>Lists!A37</f>
        <v>0</v>
      </c>
      <c r="B37" s="5">
        <f>SUMIFS('Hours Log'!$D$5:$D$504,'Hours Log'!$C$5:$C$504,$A37,'Hours Log'!$B$5:$B$504,"&gt;="&amp;DATE(Dashboard!$B$4-1,10,1),'Hours Log'!$B$5:$B$504,"&lt;"&amp;DATE(Dashboard!$B$4,10,1))</f>
        <v>0</v>
      </c>
      <c r="C37" s="5">
        <f>SUMIFS('Hours Log'!$E$5:$E$504,'Hours Log'!$C$5:$C$504,$A37,'Hours Log'!$B$5:$B$504,"&gt;="&amp;DATE(Dashboard!$B$4-1,10,1),'Hours Log'!$B$5:$B$504,"&lt;"&amp;DATE(Dashboard!$B$4,10,1))</f>
        <v>0</v>
      </c>
      <c r="D37" s="5">
        <f>SUMIFS('Hours Log'!$F$5:$F$504,'Hours Log'!$C$5:$C$504,$A37,'Hours Log'!$B$5:$B$504,"&gt;="&amp;DATE(Dashboard!$B$4-1,10,1),'Hours Log'!$B$5:$B$504,"&lt;"&amp;DATE(Dashboard!$B$4,10,1))</f>
        <v>0</v>
      </c>
      <c r="E37" s="8">
        <f>SUM(B37:D37)</f>
        <v>0</v>
      </c>
    </row>
    <row r="38">
      <c r="A38" s="3">
        <f>Lists!A38</f>
        <v>0</v>
      </c>
      <c r="B38" s="5">
        <f>SUMIFS('Hours Log'!$D$5:$D$504,'Hours Log'!$C$5:$C$504,$A38,'Hours Log'!$B$5:$B$504,"&gt;="&amp;DATE(Dashboard!$B$4-1,10,1),'Hours Log'!$B$5:$B$504,"&lt;"&amp;DATE(Dashboard!$B$4,10,1))</f>
        <v>0</v>
      </c>
      <c r="C38" s="5">
        <f>SUMIFS('Hours Log'!$E$5:$E$504,'Hours Log'!$C$5:$C$504,$A38,'Hours Log'!$B$5:$B$504,"&gt;="&amp;DATE(Dashboard!$B$4-1,10,1),'Hours Log'!$B$5:$B$504,"&lt;"&amp;DATE(Dashboard!$B$4,10,1))</f>
        <v>0</v>
      </c>
      <c r="D38" s="5">
        <f>SUMIFS('Hours Log'!$F$5:$F$504,'Hours Log'!$C$5:$C$504,$A38,'Hours Log'!$B$5:$B$504,"&gt;="&amp;DATE(Dashboard!$B$4-1,10,1),'Hours Log'!$B$5:$B$504,"&lt;"&amp;DATE(Dashboard!$B$4,10,1))</f>
        <v>0</v>
      </c>
      <c r="E38" s="8">
        <f>SUM(B38:D38)</f>
        <v>0</v>
      </c>
    </row>
    <row r="39">
      <c r="A39" s="3">
        <f>Lists!A39</f>
        <v>0</v>
      </c>
      <c r="B39" s="5">
        <f>SUMIFS('Hours Log'!$D$5:$D$504,'Hours Log'!$C$5:$C$504,$A39,'Hours Log'!$B$5:$B$504,"&gt;="&amp;DATE(Dashboard!$B$4-1,10,1),'Hours Log'!$B$5:$B$504,"&lt;"&amp;DATE(Dashboard!$B$4,10,1))</f>
        <v>0</v>
      </c>
      <c r="C39" s="5">
        <f>SUMIFS('Hours Log'!$E$5:$E$504,'Hours Log'!$C$5:$C$504,$A39,'Hours Log'!$B$5:$B$504,"&gt;="&amp;DATE(Dashboard!$B$4-1,10,1),'Hours Log'!$B$5:$B$504,"&lt;"&amp;DATE(Dashboard!$B$4,10,1))</f>
        <v>0</v>
      </c>
      <c r="D39" s="5">
        <f>SUMIFS('Hours Log'!$F$5:$F$504,'Hours Log'!$C$5:$C$504,$A39,'Hours Log'!$B$5:$B$504,"&gt;="&amp;DATE(Dashboard!$B$4-1,10,1),'Hours Log'!$B$5:$B$504,"&lt;"&amp;DATE(Dashboard!$B$4,10,1))</f>
        <v>0</v>
      </c>
      <c r="E39" s="8">
        <f>SUM(B39:D39)</f>
        <v>0</v>
      </c>
    </row>
    <row r="40">
      <c r="A40" s="3">
        <f>Lists!A40</f>
        <v>0</v>
      </c>
      <c r="B40" s="5">
        <f>SUMIFS('Hours Log'!$D$5:$D$504,'Hours Log'!$C$5:$C$504,$A40,'Hours Log'!$B$5:$B$504,"&gt;="&amp;DATE(Dashboard!$B$4-1,10,1),'Hours Log'!$B$5:$B$504,"&lt;"&amp;DATE(Dashboard!$B$4,10,1))</f>
        <v>0</v>
      </c>
      <c r="C40" s="5">
        <f>SUMIFS('Hours Log'!$E$5:$E$504,'Hours Log'!$C$5:$C$504,$A40,'Hours Log'!$B$5:$B$504,"&gt;="&amp;DATE(Dashboard!$B$4-1,10,1),'Hours Log'!$B$5:$B$504,"&lt;"&amp;DATE(Dashboard!$B$4,10,1))</f>
        <v>0</v>
      </c>
      <c r="D40" s="5">
        <f>SUMIFS('Hours Log'!$F$5:$F$504,'Hours Log'!$C$5:$C$504,$A40,'Hours Log'!$B$5:$B$504,"&gt;="&amp;DATE(Dashboard!$B$4-1,10,1),'Hours Log'!$B$5:$B$504,"&lt;"&amp;DATE(Dashboard!$B$4,10,1))</f>
        <v>0</v>
      </c>
      <c r="E40" s="8">
        <f>SUM(B40:D40)</f>
        <v>0</v>
      </c>
    </row>
    <row r="41">
      <c r="A41" s="3">
        <f>Lists!A41</f>
        <v>0</v>
      </c>
      <c r="B41" s="5">
        <f>SUMIFS('Hours Log'!$D$5:$D$504,'Hours Log'!$C$5:$C$504,$A41,'Hours Log'!$B$5:$B$504,"&gt;="&amp;DATE(Dashboard!$B$4-1,10,1),'Hours Log'!$B$5:$B$504,"&lt;"&amp;DATE(Dashboard!$B$4,10,1))</f>
        <v>0</v>
      </c>
      <c r="C41" s="5">
        <f>SUMIFS('Hours Log'!$E$5:$E$504,'Hours Log'!$C$5:$C$504,$A41,'Hours Log'!$B$5:$B$504,"&gt;="&amp;DATE(Dashboard!$B$4-1,10,1),'Hours Log'!$B$5:$B$504,"&lt;"&amp;DATE(Dashboard!$B$4,10,1))</f>
        <v>0</v>
      </c>
      <c r="D41" s="5">
        <f>SUMIFS('Hours Log'!$F$5:$F$504,'Hours Log'!$C$5:$C$504,$A41,'Hours Log'!$B$5:$B$504,"&gt;="&amp;DATE(Dashboard!$B$4-1,10,1),'Hours Log'!$B$5:$B$504,"&lt;"&amp;DATE(Dashboard!$B$4,10,1))</f>
        <v>0</v>
      </c>
      <c r="E41" s="8">
        <f>SUM(B41:D41)</f>
        <v>0</v>
      </c>
    </row>
    <row r="42">
      <c r="A42" s="3">
        <f>Lists!A42</f>
        <v>0</v>
      </c>
      <c r="B42" s="5">
        <f>SUMIFS('Hours Log'!$D$5:$D$504,'Hours Log'!$C$5:$C$504,$A42,'Hours Log'!$B$5:$B$504,"&gt;="&amp;DATE(Dashboard!$B$4-1,10,1),'Hours Log'!$B$5:$B$504,"&lt;"&amp;DATE(Dashboard!$B$4,10,1))</f>
        <v>0</v>
      </c>
      <c r="C42" s="5">
        <f>SUMIFS('Hours Log'!$E$5:$E$504,'Hours Log'!$C$5:$C$504,$A42,'Hours Log'!$B$5:$B$504,"&gt;="&amp;DATE(Dashboard!$B$4-1,10,1),'Hours Log'!$B$5:$B$504,"&lt;"&amp;DATE(Dashboard!$B$4,10,1))</f>
        <v>0</v>
      </c>
      <c r="D42" s="5">
        <f>SUMIFS('Hours Log'!$F$5:$F$504,'Hours Log'!$C$5:$C$504,$A42,'Hours Log'!$B$5:$B$504,"&gt;="&amp;DATE(Dashboard!$B$4-1,10,1),'Hours Log'!$B$5:$B$504,"&lt;"&amp;DATE(Dashboard!$B$4,10,1))</f>
        <v>0</v>
      </c>
      <c r="E42" s="8">
        <f>SUM(B42:D42)</f>
        <v>0</v>
      </c>
    </row>
    <row r="43">
      <c r="A43" s="3">
        <f>Lists!A43</f>
        <v>0</v>
      </c>
      <c r="B43" s="5">
        <f>SUMIFS('Hours Log'!$D$5:$D$504,'Hours Log'!$C$5:$C$504,$A43,'Hours Log'!$B$5:$B$504,"&gt;="&amp;DATE(Dashboard!$B$4-1,10,1),'Hours Log'!$B$5:$B$504,"&lt;"&amp;DATE(Dashboard!$B$4,10,1))</f>
        <v>0</v>
      </c>
      <c r="C43" s="5">
        <f>SUMIFS('Hours Log'!$E$5:$E$504,'Hours Log'!$C$5:$C$504,$A43,'Hours Log'!$B$5:$B$504,"&gt;="&amp;DATE(Dashboard!$B$4-1,10,1),'Hours Log'!$B$5:$B$504,"&lt;"&amp;DATE(Dashboard!$B$4,10,1))</f>
        <v>0</v>
      </c>
      <c r="D43" s="5">
        <f>SUMIFS('Hours Log'!$F$5:$F$504,'Hours Log'!$C$5:$C$504,$A43,'Hours Log'!$B$5:$B$504,"&gt;="&amp;DATE(Dashboard!$B$4-1,10,1),'Hours Log'!$B$5:$B$504,"&lt;"&amp;DATE(Dashboard!$B$4,10,1))</f>
        <v>0</v>
      </c>
      <c r="E43" s="8">
        <f>SUM(B43:D43)</f>
        <v>0</v>
      </c>
    </row>
    <row r="44">
      <c r="A44" s="3">
        <f>Lists!A44</f>
        <v>0</v>
      </c>
      <c r="B44" s="5">
        <f>SUMIFS('Hours Log'!$D$5:$D$504,'Hours Log'!$C$5:$C$504,$A44,'Hours Log'!$B$5:$B$504,"&gt;="&amp;DATE(Dashboard!$B$4-1,10,1),'Hours Log'!$B$5:$B$504,"&lt;"&amp;DATE(Dashboard!$B$4,10,1))</f>
        <v>0</v>
      </c>
      <c r="C44" s="5">
        <f>SUMIFS('Hours Log'!$E$5:$E$504,'Hours Log'!$C$5:$C$504,$A44,'Hours Log'!$B$5:$B$504,"&gt;="&amp;DATE(Dashboard!$B$4-1,10,1),'Hours Log'!$B$5:$B$504,"&lt;"&amp;DATE(Dashboard!$B$4,10,1))</f>
        <v>0</v>
      </c>
      <c r="D44" s="5">
        <f>SUMIFS('Hours Log'!$F$5:$F$504,'Hours Log'!$C$5:$C$504,$A44,'Hours Log'!$B$5:$B$504,"&gt;="&amp;DATE(Dashboard!$B$4-1,10,1),'Hours Log'!$B$5:$B$504,"&lt;"&amp;DATE(Dashboard!$B$4,10,1))</f>
        <v>0</v>
      </c>
      <c r="E44" s="8">
        <f>SUM(B44:D44)</f>
        <v>0</v>
      </c>
    </row>
    <row r="45" ht="27" customHeight="1">
      <c r="A45" s="2" t="inlineStr">
        <is>
          <t xml:space="preserve">ALL CLASSES</t>
        </is>
      </c>
      <c r="B45" s="8">
        <f>SUM(B5:B44)</f>
        <v>0</v>
      </c>
      <c r="C45" s="8">
        <f>SUM(C5:C44)</f>
        <v>0</v>
      </c>
      <c r="D45" s="8">
        <f>SUM(D5:D44)</f>
        <v>0</v>
      </c>
      <c r="E45" s="8">
        <f>SUM(E5:E44)</f>
        <v>0</v>
      </c>
    </row>
  </sheetData>
  <autoFilter ref="A4:E44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8"/>
  <cols>
    <col min="1" max="1" width="39"/>
    <col min="2" max="4" width="20"/>
  </cols>
  <sheetData>
    <row r="1" ht="30" customHeight="1">
      <c r="A1" s="1" t="inlineStr">
        <is>
          <t xml:space="preserve">CLASS REFERENCE LIST</t>
        </is>
      </c>
    </row>
    <row r="2" ht="23" customHeight="1">
      <c r="A2" s="13" t="inlineStr">
        <is>
          <t xml:space="preserve">Rename Class 1 - Class 40 below to match your course names; class dropdowns use this list.</t>
        </is>
      </c>
    </row>
    <row r="4" ht="26" customHeight="1">
      <c r="A4" s="11" t="inlineStr">
        <is>
          <t xml:space="preserve">CLASSES (EDIT NAMES BELOW)</t>
        </is>
      </c>
    </row>
    <row r="5">
      <c r="A5" s="10" t="inlineStr">
        <is>
          <t xml:space="preserve">Class 1</t>
        </is>
      </c>
    </row>
    <row r="6">
      <c r="A6" s="10" t="inlineStr">
        <is>
          <t xml:space="preserve">Class 2</t>
        </is>
      </c>
    </row>
    <row r="7">
      <c r="A7" s="10" t="inlineStr">
        <is>
          <t xml:space="preserve">Class 3</t>
        </is>
      </c>
    </row>
    <row r="8">
      <c r="A8" s="10" t="inlineStr">
        <is>
          <t xml:space="preserve">Class 4</t>
        </is>
      </c>
    </row>
    <row r="9">
      <c r="A9" s="10" t="inlineStr">
        <is>
          <t xml:space="preserve">Class 5</t>
        </is>
      </c>
    </row>
    <row r="10">
      <c r="A10" s="10" t="inlineStr">
        <is>
          <t xml:space="preserve">Class 6</t>
        </is>
      </c>
    </row>
    <row r="11">
      <c r="A11" s="10" t="inlineStr">
        <is>
          <t xml:space="preserve">Class 7</t>
        </is>
      </c>
    </row>
    <row r="12">
      <c r="A12" s="10" t="inlineStr">
        <is>
          <t xml:space="preserve">Class 8</t>
        </is>
      </c>
    </row>
    <row r="13">
      <c r="A13" s="10" t="inlineStr">
        <is>
          <t xml:space="preserve">Class 9</t>
        </is>
      </c>
    </row>
    <row r="14">
      <c r="A14" s="10" t="inlineStr">
        <is>
          <t xml:space="preserve">Class 10</t>
        </is>
      </c>
    </row>
    <row r="15">
      <c r="A15" s="10" t="inlineStr">
        <is>
          <t xml:space="preserve">Class 11</t>
        </is>
      </c>
    </row>
    <row r="16">
      <c r="A16" s="10" t="inlineStr">
        <is>
          <t xml:space="preserve">Class 12</t>
        </is>
      </c>
    </row>
    <row r="17">
      <c r="A17" s="10" t="inlineStr">
        <is>
          <t xml:space="preserve">Class 13</t>
        </is>
      </c>
    </row>
    <row r="18">
      <c r="A18" s="10" t="inlineStr">
        <is>
          <t xml:space="preserve">Class 14</t>
        </is>
      </c>
    </row>
    <row r="19">
      <c r="A19" s="10" t="inlineStr">
        <is>
          <t xml:space="preserve">Class 15</t>
        </is>
      </c>
    </row>
    <row r="20">
      <c r="A20" s="10" t="inlineStr">
        <is>
          <t xml:space="preserve">Class 16</t>
        </is>
      </c>
    </row>
    <row r="21">
      <c r="A21" s="10" t="inlineStr">
        <is>
          <t xml:space="preserve">Class 17</t>
        </is>
      </c>
    </row>
    <row r="22">
      <c r="A22" s="10" t="inlineStr">
        <is>
          <t xml:space="preserve">Class 18</t>
        </is>
      </c>
    </row>
    <row r="23">
      <c r="A23" s="10" t="inlineStr">
        <is>
          <t xml:space="preserve">Class 19</t>
        </is>
      </c>
    </row>
    <row r="24">
      <c r="A24" s="10" t="inlineStr">
        <is>
          <t xml:space="preserve">Class 20</t>
        </is>
      </c>
    </row>
    <row r="25">
      <c r="A25" s="10" t="inlineStr">
        <is>
          <t xml:space="preserve">Class 21</t>
        </is>
      </c>
    </row>
    <row r="26">
      <c r="A26" s="10" t="inlineStr">
        <is>
          <t xml:space="preserve">Class 22</t>
        </is>
      </c>
    </row>
    <row r="27">
      <c r="A27" s="10" t="inlineStr">
        <is>
          <t xml:space="preserve">Class 23</t>
        </is>
      </c>
    </row>
    <row r="28">
      <c r="A28" s="10" t="inlineStr">
        <is>
          <t xml:space="preserve">Class 24</t>
        </is>
      </c>
    </row>
    <row r="29">
      <c r="A29" s="10" t="inlineStr">
        <is>
          <t xml:space="preserve">Class 25</t>
        </is>
      </c>
    </row>
    <row r="30">
      <c r="A30" s="10" t="inlineStr">
        <is>
          <t xml:space="preserve">Class 26</t>
        </is>
      </c>
    </row>
    <row r="31">
      <c r="A31" s="10" t="inlineStr">
        <is>
          <t xml:space="preserve">Class 27</t>
        </is>
      </c>
    </row>
    <row r="32">
      <c r="A32" s="10" t="inlineStr">
        <is>
          <t xml:space="preserve">Class 28</t>
        </is>
      </c>
    </row>
    <row r="33">
      <c r="A33" s="10" t="inlineStr">
        <is>
          <t xml:space="preserve">Class 29</t>
        </is>
      </c>
    </row>
    <row r="34">
      <c r="A34" s="10" t="inlineStr">
        <is>
          <t xml:space="preserve">Class 30</t>
        </is>
      </c>
    </row>
    <row r="35">
      <c r="A35" s="10" t="inlineStr">
        <is>
          <t xml:space="preserve">Class 31</t>
        </is>
      </c>
    </row>
    <row r="36">
      <c r="A36" s="10" t="inlineStr">
        <is>
          <t xml:space="preserve">Class 32</t>
        </is>
      </c>
    </row>
    <row r="37">
      <c r="A37" s="10" t="inlineStr">
        <is>
          <t xml:space="preserve">Class 33</t>
        </is>
      </c>
    </row>
    <row r="38">
      <c r="A38" s="10" t="inlineStr">
        <is>
          <t xml:space="preserve">Class 34</t>
        </is>
      </c>
    </row>
    <row r="39">
      <c r="A39" s="10" t="inlineStr">
        <is>
          <t xml:space="preserve">Class 35</t>
        </is>
      </c>
    </row>
    <row r="40">
      <c r="A40" s="10" t="inlineStr">
        <is>
          <t xml:space="preserve">Class 36</t>
        </is>
      </c>
    </row>
    <row r="41">
      <c r="A41" s="10" t="inlineStr">
        <is>
          <t xml:space="preserve">Class 37</t>
        </is>
      </c>
    </row>
    <row r="42">
      <c r="A42" s="10" t="inlineStr">
        <is>
          <t xml:space="preserve">Class 38</t>
        </is>
      </c>
    </row>
    <row r="43">
      <c r="A43" s="10" t="inlineStr">
        <is>
          <t xml:space="preserve">Class 39</t>
        </is>
      </c>
    </row>
    <row r="44">
      <c r="A44" s="10" t="inlineStr">
        <is>
          <t xml:space="preserve">Class 40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8"/>
  <cols>
    <col min="1" max="1" width="120"/>
  </cols>
  <sheetData>
    <row r="1" ht="34" customHeight="1">
      <c r="A1" s="1" t="inlineStr">
        <is>
          <t xml:space="preserve">USING THE FEDERAL FISCAL-YEAR TRACKER</t>
        </is>
      </c>
    </row>
    <row r="2" ht="27" customHeight="1">
      <c r="A2" s="9" t="inlineStr">
        <is>
          <t xml:space="preserve">1. On Dashboard!B4, select the fiscal year by ENDING calendar year. FY 2027 = 10/1/2026 - 9/30/2027.</t>
        </is>
      </c>
    </row>
    <row r="3" ht="27" customHeight="1">
      <c r="A3" s="9" t="inlineStr">
        <is>
          <t xml:space="preserve">2. Rename the 40 class placeholders on the Lists sheet. The Hours Log class dropdown uses that list.</t>
        </is>
      </c>
    </row>
    <row r="4" ht="27" customHeight="1">
      <c r="A4" s="9" t="inlineStr">
        <is>
          <t xml:space="preserve">3. On Hours Log, enter a date, class, and any Contact, Production, or Consultation Hours.</t>
        </is>
      </c>
    </row>
    <row r="5" ht="27" customHeight="1">
      <c r="A5" s="9" t="inlineStr">
        <is>
          <t xml:space="preserve">4. The total hours, calendar month/year, and fiscal year calculate automatically for each dated entry.</t>
        </is>
      </c>
    </row>
    <row r="6" ht="27" customHeight="1">
      <c r="A6" s="9" t="inlineStr">
        <is>
          <t xml:space="preserve">5. Dashboard totals and monthly chart follow the selected FY in October-to-September order.</t>
        </is>
      </c>
    </row>
    <row r="7" ht="27" customHeight="1">
      <c r="A7" s="9" t="inlineStr">
        <is>
          <t xml:space="preserve">6. Class Summary breaks down all 40 classes for the selected FY.</t>
        </is>
      </c>
    </row>
    <row r="8" ht="27" customHeight="1">
      <c r="A8" s="9" t="inlineStr">
        <is>
          <t xml:space="preserve">7. Hours Log contains 500 dated entries. Extend formulas and dashboard ranges if your log grows.</t>
        </is>
      </c>
    </row>
    <row r="9" ht="27" customHeight="1">
      <c r="A9" s="9" t="inlineStr">
        <is>
          <t xml:space="preserve">8. Keep one workbook across years and change the selected FY to view prior/future fiscal years.</t>
        </is>
      </c>
    </row>
    <row r="10" ht="27" customHeight="1">
      <c r="A10" s="3" t="inlineStr">
        <is>
          <t xml:space="preserve">CONTACT HOURS: Time delivering instruction.</t>
        </is>
      </c>
    </row>
    <row r="11" ht="27" customHeight="1">
      <c r="A11" s="3" t="inlineStr">
        <is>
          <t xml:space="preserve">PRODUCTION HOURS: Time developing or preparing instructional materials.</t>
        </is>
      </c>
    </row>
    <row r="12" ht="27" customHeight="1">
      <c r="A12" s="3" t="inlineStr">
        <is>
          <t xml:space="preserve">CONSULTATION HOURS: Time providing consultations, support or coaching.</t>
        </is>
      </c>
    </row>
    <row r="13" ht="27" customHeight="1">
      <c r="A13" s="3" t="inlineStr">
        <is>
          <t xml:space="preserve">NOTE: The FY progress indicator uses today's date, not entered hours. Open in Excel for formula recalculation.</t>
        </is>
      </c>
    </row>
    <row r="14" ht="27" customHeight="1">
      <c r="A14" s="3" t="inlineStr">
        <is>
          <t xml:space="preserve">Original July 2026 tracker concept; revised to federal fiscal-year reporting, October 2026.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Hours Log</vt:lpstr>
      <vt:lpstr>Class Summary</vt:lpstr>
      <vt:lpstr>Lists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Instructor Hours Tracker - Fiscal Year</dc:title>
  <dc:creator>Instructor Training</dc:creator>
  <dcterms:created xsi:type="dcterms:W3CDTF">2026-10-20T00:00:00Z</dcterms:created>
</cp:coreProperties>
</file>